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4580824 (Volatility Analysis)\"/>
    </mc:Choice>
  </mc:AlternateContent>
  <xr:revisionPtr revIDLastSave="0" documentId="13_ncr:1_{162DA28F-0319-4782-BEB2-0B8EE6289C51}" xr6:coauthVersionLast="47" xr6:coauthVersionMax="47" xr10:uidLastSave="{00000000-0000-0000-0000-000000000000}"/>
  <bookViews>
    <workbookView xWindow="-110" yWindow="-110" windowWidth="19420" windowHeight="10300" xr2:uid="{15A729F0-B211-45BB-8661-9DF58334B9D2}"/>
  </bookViews>
  <sheets>
    <sheet name="REKAP" sheetId="5" r:id="rId1"/>
    <sheet name="SIN MY" sheetId="1" r:id="rId2"/>
    <sheet name="SRI-ESG MY" sheetId="2" r:id="rId3"/>
    <sheet name="SYR MY" sheetId="3" r:id="rId4"/>
    <sheet name="COMPOSITE MY" sheetId="4" r:id="rId5"/>
    <sheet name="STAT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3" i="3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3" i="4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3" i="2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H8" i="1"/>
  <c r="I8" i="1"/>
  <c r="J8" i="1"/>
  <c r="K8" i="1"/>
  <c r="L8" i="1"/>
  <c r="M8" i="1"/>
  <c r="H9" i="1"/>
  <c r="I9" i="1"/>
  <c r="J9" i="1"/>
  <c r="K9" i="1"/>
  <c r="L9" i="1"/>
  <c r="M9" i="1"/>
  <c r="H10" i="1"/>
  <c r="I10" i="1"/>
  <c r="J10" i="1"/>
  <c r="K10" i="1"/>
  <c r="L10" i="1"/>
  <c r="M10" i="1"/>
  <c r="H11" i="1"/>
  <c r="I11" i="1"/>
  <c r="J11" i="1"/>
  <c r="K11" i="1"/>
  <c r="L11" i="1"/>
  <c r="M11" i="1"/>
  <c r="H12" i="1"/>
  <c r="I12" i="1"/>
  <c r="J12" i="1"/>
  <c r="K12" i="1"/>
  <c r="L12" i="1"/>
  <c r="M12" i="1"/>
  <c r="H13" i="1"/>
  <c r="I13" i="1"/>
  <c r="J13" i="1"/>
  <c r="K13" i="1"/>
  <c r="L13" i="1"/>
  <c r="M13" i="1"/>
  <c r="H14" i="1"/>
  <c r="I14" i="1"/>
  <c r="J14" i="1"/>
  <c r="K14" i="1"/>
  <c r="L14" i="1"/>
  <c r="M14" i="1"/>
  <c r="H15" i="1"/>
  <c r="I15" i="1"/>
  <c r="J15" i="1"/>
  <c r="K15" i="1"/>
  <c r="L15" i="1"/>
  <c r="M15" i="1"/>
  <c r="H16" i="1"/>
  <c r="I16" i="1"/>
  <c r="J16" i="1"/>
  <c r="K16" i="1"/>
  <c r="L16" i="1"/>
  <c r="M16" i="1"/>
  <c r="H17" i="1"/>
  <c r="I17" i="1"/>
  <c r="J17" i="1"/>
  <c r="K17" i="1"/>
  <c r="L17" i="1"/>
  <c r="M17" i="1"/>
  <c r="H18" i="1"/>
  <c r="I18" i="1"/>
  <c r="J18" i="1"/>
  <c r="K18" i="1"/>
  <c r="L18" i="1"/>
  <c r="M18" i="1"/>
  <c r="H19" i="1"/>
  <c r="I19" i="1"/>
  <c r="J19" i="1"/>
  <c r="K19" i="1"/>
  <c r="L19" i="1"/>
  <c r="M19" i="1"/>
  <c r="H20" i="1"/>
  <c r="I20" i="1"/>
  <c r="J20" i="1"/>
  <c r="K20" i="1"/>
  <c r="L20" i="1"/>
  <c r="M20" i="1"/>
  <c r="H21" i="1"/>
  <c r="I21" i="1"/>
  <c r="J21" i="1"/>
  <c r="K21" i="1"/>
  <c r="L21" i="1"/>
  <c r="M21" i="1"/>
  <c r="H22" i="1"/>
  <c r="I22" i="1"/>
  <c r="J22" i="1"/>
  <c r="K22" i="1"/>
  <c r="L22" i="1"/>
  <c r="M22" i="1"/>
  <c r="H23" i="1"/>
  <c r="I23" i="1"/>
  <c r="J23" i="1"/>
  <c r="K23" i="1"/>
  <c r="L23" i="1"/>
  <c r="M23" i="1"/>
  <c r="H24" i="1"/>
  <c r="I24" i="1"/>
  <c r="J24" i="1"/>
  <c r="K24" i="1"/>
  <c r="L24" i="1"/>
  <c r="M24" i="1"/>
  <c r="H25" i="1"/>
  <c r="I25" i="1"/>
  <c r="J25" i="1"/>
  <c r="K25" i="1"/>
  <c r="L25" i="1"/>
  <c r="M25" i="1"/>
  <c r="H26" i="1"/>
  <c r="I26" i="1"/>
  <c r="J26" i="1"/>
  <c r="K26" i="1"/>
  <c r="L26" i="1"/>
  <c r="M26" i="1"/>
  <c r="H27" i="1"/>
  <c r="I27" i="1"/>
  <c r="J27" i="1"/>
  <c r="K27" i="1"/>
  <c r="L27" i="1"/>
  <c r="M27" i="1"/>
  <c r="H28" i="1"/>
  <c r="I28" i="1"/>
  <c r="J28" i="1"/>
  <c r="K28" i="1"/>
  <c r="L28" i="1"/>
  <c r="M28" i="1"/>
  <c r="H29" i="1"/>
  <c r="I29" i="1"/>
  <c r="J29" i="1"/>
  <c r="K29" i="1"/>
  <c r="L29" i="1"/>
  <c r="M29" i="1"/>
  <c r="H30" i="1"/>
  <c r="I30" i="1"/>
  <c r="J30" i="1"/>
  <c r="K30" i="1"/>
  <c r="L30" i="1"/>
  <c r="M30" i="1"/>
  <c r="H31" i="1"/>
  <c r="I31" i="1"/>
  <c r="J31" i="1"/>
  <c r="K31" i="1"/>
  <c r="L31" i="1"/>
  <c r="M31" i="1"/>
  <c r="H32" i="1"/>
  <c r="I32" i="1"/>
  <c r="J32" i="1"/>
  <c r="K32" i="1"/>
  <c r="L32" i="1"/>
  <c r="M32" i="1"/>
  <c r="H33" i="1"/>
  <c r="I33" i="1"/>
  <c r="J33" i="1"/>
  <c r="K33" i="1"/>
  <c r="L33" i="1"/>
  <c r="M33" i="1"/>
  <c r="H34" i="1"/>
  <c r="I34" i="1"/>
  <c r="J34" i="1"/>
  <c r="K34" i="1"/>
  <c r="L34" i="1"/>
  <c r="M34" i="1"/>
  <c r="H35" i="1"/>
  <c r="I35" i="1"/>
  <c r="J35" i="1"/>
  <c r="K35" i="1"/>
  <c r="L35" i="1"/>
  <c r="M35" i="1"/>
  <c r="H36" i="1"/>
  <c r="I36" i="1"/>
  <c r="J36" i="1"/>
  <c r="K36" i="1"/>
  <c r="L36" i="1"/>
  <c r="M36" i="1"/>
  <c r="H37" i="1"/>
  <c r="I37" i="1"/>
  <c r="J37" i="1"/>
  <c r="K37" i="1"/>
  <c r="L37" i="1"/>
  <c r="M37" i="1"/>
  <c r="H38" i="1"/>
  <c r="I38" i="1"/>
  <c r="J38" i="1"/>
  <c r="K38" i="1"/>
  <c r="L38" i="1"/>
  <c r="M38" i="1"/>
  <c r="H39" i="1"/>
  <c r="I39" i="1"/>
  <c r="J39" i="1"/>
  <c r="K39" i="1"/>
  <c r="L39" i="1"/>
  <c r="M39" i="1"/>
  <c r="H40" i="1"/>
  <c r="I40" i="1"/>
  <c r="J40" i="1"/>
  <c r="K40" i="1"/>
  <c r="L40" i="1"/>
  <c r="M40" i="1"/>
  <c r="H41" i="1"/>
  <c r="I41" i="1"/>
  <c r="J41" i="1"/>
  <c r="K41" i="1"/>
  <c r="L41" i="1"/>
  <c r="M41" i="1"/>
  <c r="H42" i="1"/>
  <c r="I42" i="1"/>
  <c r="J42" i="1"/>
  <c r="K42" i="1"/>
  <c r="L42" i="1"/>
  <c r="M42" i="1"/>
  <c r="H43" i="1"/>
  <c r="I43" i="1"/>
  <c r="J43" i="1"/>
  <c r="K43" i="1"/>
  <c r="L43" i="1"/>
  <c r="M43" i="1"/>
  <c r="H44" i="1"/>
  <c r="I44" i="1"/>
  <c r="J44" i="1"/>
  <c r="K44" i="1"/>
  <c r="L44" i="1"/>
  <c r="M44" i="1"/>
  <c r="H45" i="1"/>
  <c r="I45" i="1"/>
  <c r="J45" i="1"/>
  <c r="K45" i="1"/>
  <c r="L45" i="1"/>
  <c r="M45" i="1"/>
  <c r="H46" i="1"/>
  <c r="I46" i="1"/>
  <c r="J46" i="1"/>
  <c r="K46" i="1"/>
  <c r="L46" i="1"/>
  <c r="M46" i="1"/>
  <c r="H47" i="1"/>
  <c r="I47" i="1"/>
  <c r="J47" i="1"/>
  <c r="K47" i="1"/>
  <c r="L47" i="1"/>
  <c r="M47" i="1"/>
  <c r="H48" i="1"/>
  <c r="I48" i="1"/>
  <c r="J48" i="1"/>
  <c r="K48" i="1"/>
  <c r="L48" i="1"/>
  <c r="M48" i="1"/>
  <c r="H49" i="1"/>
  <c r="I49" i="1"/>
  <c r="J49" i="1"/>
  <c r="K49" i="1"/>
  <c r="L49" i="1"/>
  <c r="M49" i="1"/>
  <c r="H50" i="1"/>
  <c r="I50" i="1"/>
  <c r="J50" i="1"/>
  <c r="K50" i="1"/>
  <c r="L50" i="1"/>
  <c r="M50" i="1"/>
  <c r="H51" i="1"/>
  <c r="I51" i="1"/>
  <c r="J51" i="1"/>
  <c r="K51" i="1"/>
  <c r="L51" i="1"/>
  <c r="M51" i="1"/>
  <c r="H52" i="1"/>
  <c r="I52" i="1"/>
  <c r="J52" i="1"/>
  <c r="K52" i="1"/>
  <c r="L52" i="1"/>
  <c r="M52" i="1"/>
  <c r="H53" i="1"/>
  <c r="I53" i="1"/>
  <c r="J53" i="1"/>
  <c r="K53" i="1"/>
  <c r="L53" i="1"/>
  <c r="M53" i="1"/>
  <c r="H54" i="1"/>
  <c r="I54" i="1"/>
  <c r="J54" i="1"/>
  <c r="K54" i="1"/>
  <c r="L54" i="1"/>
  <c r="M54" i="1"/>
  <c r="H55" i="1"/>
  <c r="I55" i="1"/>
  <c r="J55" i="1"/>
  <c r="K55" i="1"/>
  <c r="L55" i="1"/>
  <c r="M55" i="1"/>
  <c r="H56" i="1"/>
  <c r="I56" i="1"/>
  <c r="J56" i="1"/>
  <c r="K56" i="1"/>
  <c r="L56" i="1"/>
  <c r="M56" i="1"/>
  <c r="H57" i="1"/>
  <c r="I57" i="1"/>
  <c r="J57" i="1"/>
  <c r="K57" i="1"/>
  <c r="L57" i="1"/>
  <c r="M57" i="1"/>
  <c r="H58" i="1"/>
  <c r="I58" i="1"/>
  <c r="J58" i="1"/>
  <c r="K58" i="1"/>
  <c r="L58" i="1"/>
  <c r="M58" i="1"/>
  <c r="H59" i="1"/>
  <c r="I59" i="1"/>
  <c r="J59" i="1"/>
  <c r="K59" i="1"/>
  <c r="L59" i="1"/>
  <c r="M59" i="1"/>
  <c r="H60" i="1"/>
  <c r="I60" i="1"/>
  <c r="J60" i="1"/>
  <c r="K60" i="1"/>
  <c r="L60" i="1"/>
  <c r="M60" i="1"/>
  <c r="H61" i="1"/>
  <c r="I61" i="1"/>
  <c r="J61" i="1"/>
  <c r="K61" i="1"/>
  <c r="L61" i="1"/>
  <c r="M61" i="1"/>
  <c r="H62" i="1"/>
  <c r="I62" i="1"/>
  <c r="J62" i="1"/>
  <c r="K62" i="1"/>
  <c r="L62" i="1"/>
  <c r="M62" i="1"/>
  <c r="H63" i="1"/>
  <c r="I63" i="1"/>
  <c r="J63" i="1"/>
  <c r="K63" i="1"/>
  <c r="L63" i="1"/>
  <c r="M63" i="1"/>
  <c r="H64" i="1"/>
  <c r="I64" i="1"/>
  <c r="J64" i="1"/>
  <c r="K64" i="1"/>
  <c r="L64" i="1"/>
  <c r="M64" i="1"/>
  <c r="H65" i="1"/>
  <c r="I65" i="1"/>
  <c r="J65" i="1"/>
  <c r="K65" i="1"/>
  <c r="L65" i="1"/>
  <c r="M65" i="1"/>
  <c r="H66" i="1"/>
  <c r="I66" i="1"/>
  <c r="J66" i="1"/>
  <c r="K66" i="1"/>
  <c r="L66" i="1"/>
  <c r="M66" i="1"/>
  <c r="H67" i="1"/>
  <c r="I67" i="1"/>
  <c r="J67" i="1"/>
  <c r="K67" i="1"/>
  <c r="L67" i="1"/>
  <c r="M67" i="1"/>
  <c r="H68" i="1"/>
  <c r="I68" i="1"/>
  <c r="J68" i="1"/>
  <c r="K68" i="1"/>
  <c r="L68" i="1"/>
  <c r="M68" i="1"/>
  <c r="H69" i="1"/>
  <c r="I69" i="1"/>
  <c r="J69" i="1"/>
  <c r="K69" i="1"/>
  <c r="L69" i="1"/>
  <c r="M69" i="1"/>
  <c r="H70" i="1"/>
  <c r="I70" i="1"/>
  <c r="J70" i="1"/>
  <c r="K70" i="1"/>
  <c r="L70" i="1"/>
  <c r="M70" i="1"/>
  <c r="H71" i="1"/>
  <c r="I71" i="1"/>
  <c r="J71" i="1"/>
  <c r="K71" i="1"/>
  <c r="L71" i="1"/>
  <c r="M71" i="1"/>
  <c r="H72" i="1"/>
  <c r="I72" i="1"/>
  <c r="J72" i="1"/>
  <c r="K72" i="1"/>
  <c r="L72" i="1"/>
  <c r="M72" i="1"/>
  <c r="H73" i="1"/>
  <c r="I73" i="1"/>
  <c r="J73" i="1"/>
  <c r="K73" i="1"/>
  <c r="L73" i="1"/>
  <c r="M73" i="1"/>
  <c r="H74" i="1"/>
  <c r="I74" i="1"/>
  <c r="J74" i="1"/>
  <c r="K74" i="1"/>
  <c r="L74" i="1"/>
  <c r="M74" i="1"/>
  <c r="H75" i="1"/>
  <c r="I75" i="1"/>
  <c r="J75" i="1"/>
  <c r="K75" i="1"/>
  <c r="L75" i="1"/>
  <c r="M75" i="1"/>
  <c r="H76" i="1"/>
  <c r="I76" i="1"/>
  <c r="J76" i="1"/>
  <c r="K76" i="1"/>
  <c r="L76" i="1"/>
  <c r="M76" i="1"/>
  <c r="H77" i="1"/>
  <c r="I77" i="1"/>
  <c r="J77" i="1"/>
  <c r="K77" i="1"/>
  <c r="L77" i="1"/>
  <c r="M77" i="1"/>
  <c r="H78" i="1"/>
  <c r="I78" i="1"/>
  <c r="J78" i="1"/>
  <c r="K78" i="1"/>
  <c r="L78" i="1"/>
  <c r="M78" i="1"/>
  <c r="H79" i="1"/>
  <c r="I79" i="1"/>
  <c r="J79" i="1"/>
  <c r="K79" i="1"/>
  <c r="L79" i="1"/>
  <c r="M79" i="1"/>
  <c r="H80" i="1"/>
  <c r="I80" i="1"/>
  <c r="J80" i="1"/>
  <c r="K80" i="1"/>
  <c r="L80" i="1"/>
  <c r="M80" i="1"/>
  <c r="H81" i="1"/>
  <c r="I81" i="1"/>
  <c r="J81" i="1"/>
  <c r="K81" i="1"/>
  <c r="L81" i="1"/>
  <c r="M81" i="1"/>
  <c r="H82" i="1"/>
  <c r="I82" i="1"/>
  <c r="J82" i="1"/>
  <c r="K82" i="1"/>
  <c r="L82" i="1"/>
  <c r="M82" i="1"/>
  <c r="H83" i="1"/>
  <c r="I83" i="1"/>
  <c r="J83" i="1"/>
  <c r="K83" i="1"/>
  <c r="L83" i="1"/>
  <c r="M83" i="1"/>
  <c r="H84" i="1"/>
  <c r="I84" i="1"/>
  <c r="J84" i="1"/>
  <c r="K84" i="1"/>
  <c r="L84" i="1"/>
  <c r="M84" i="1"/>
  <c r="H85" i="1"/>
  <c r="I85" i="1"/>
  <c r="J85" i="1"/>
  <c r="K85" i="1"/>
  <c r="L85" i="1"/>
  <c r="M85" i="1"/>
  <c r="H86" i="1"/>
  <c r="I86" i="1"/>
  <c r="J86" i="1"/>
  <c r="K86" i="1"/>
  <c r="L86" i="1"/>
  <c r="M86" i="1"/>
  <c r="H87" i="1"/>
  <c r="I87" i="1"/>
  <c r="J87" i="1"/>
  <c r="K87" i="1"/>
  <c r="L87" i="1"/>
  <c r="M87" i="1"/>
  <c r="H88" i="1"/>
  <c r="I88" i="1"/>
  <c r="J88" i="1"/>
  <c r="K88" i="1"/>
  <c r="L88" i="1"/>
  <c r="M88" i="1"/>
  <c r="H89" i="1"/>
  <c r="I89" i="1"/>
  <c r="J89" i="1"/>
  <c r="K89" i="1"/>
  <c r="L89" i="1"/>
  <c r="M89" i="1"/>
  <c r="H90" i="1"/>
  <c r="I90" i="1"/>
  <c r="J90" i="1"/>
  <c r="K90" i="1"/>
  <c r="L90" i="1"/>
  <c r="M90" i="1"/>
  <c r="H91" i="1"/>
  <c r="I91" i="1"/>
  <c r="J91" i="1"/>
  <c r="K91" i="1"/>
  <c r="L91" i="1"/>
  <c r="M91" i="1"/>
  <c r="H92" i="1"/>
  <c r="I92" i="1"/>
  <c r="J92" i="1"/>
  <c r="K92" i="1"/>
  <c r="L92" i="1"/>
  <c r="M92" i="1"/>
  <c r="H93" i="1"/>
  <c r="I93" i="1"/>
  <c r="J93" i="1"/>
  <c r="K93" i="1"/>
  <c r="L93" i="1"/>
  <c r="M93" i="1"/>
  <c r="H94" i="1"/>
  <c r="I94" i="1"/>
  <c r="J94" i="1"/>
  <c r="K94" i="1"/>
  <c r="L94" i="1"/>
  <c r="M94" i="1"/>
  <c r="H95" i="1"/>
  <c r="I95" i="1"/>
  <c r="J95" i="1"/>
  <c r="K95" i="1"/>
  <c r="L95" i="1"/>
  <c r="M95" i="1"/>
  <c r="H96" i="1"/>
  <c r="I96" i="1"/>
  <c r="J96" i="1"/>
  <c r="K96" i="1"/>
  <c r="L96" i="1"/>
  <c r="M96" i="1"/>
  <c r="H97" i="1"/>
  <c r="I97" i="1"/>
  <c r="J97" i="1"/>
  <c r="K97" i="1"/>
  <c r="L97" i="1"/>
  <c r="M97" i="1"/>
  <c r="I3" i="1"/>
  <c r="J3" i="1"/>
  <c r="K3" i="1"/>
  <c r="L3" i="1"/>
  <c r="M3" i="1"/>
  <c r="H3" i="1"/>
</calcChain>
</file>

<file path=xl/sharedStrings.xml><?xml version="1.0" encoding="utf-8"?>
<sst xmlns="http://schemas.openxmlformats.org/spreadsheetml/2006/main" count="39" uniqueCount="36">
  <si>
    <t xml:space="preserve">bulan </t>
  </si>
  <si>
    <t>GEBHF</t>
  </si>
  <si>
    <t>GENM</t>
  </si>
  <si>
    <t>CARLSBG</t>
  </si>
  <si>
    <t>SPTOTO</t>
  </si>
  <si>
    <t>HEIM</t>
  </si>
  <si>
    <t>MAGNUM</t>
  </si>
  <si>
    <t>F4GBM</t>
  </si>
  <si>
    <t>FBMEMAS</t>
  </si>
  <si>
    <t>KLCI</t>
  </si>
  <si>
    <t>R SPTOTO</t>
  </si>
  <si>
    <t>R HEIM</t>
  </si>
  <si>
    <t>R MAGNUM</t>
  </si>
  <si>
    <t>R GEBHF</t>
  </si>
  <si>
    <t>R GENM</t>
  </si>
  <si>
    <t>R CARLSBG</t>
  </si>
  <si>
    <t>R SIN</t>
  </si>
  <si>
    <t>R F4GBM</t>
  </si>
  <si>
    <t>R FBMEMAS</t>
  </si>
  <si>
    <t>R KLCI</t>
  </si>
  <si>
    <t>BULAN</t>
  </si>
  <si>
    <t xml:space="preserve">corr SIN_MY SRI/ESG_MY SYR_MY </t>
  </si>
  <si>
    <t xml:space="preserve">sum SIN_MY SRI/ESG_MY SYR_MY </t>
  </si>
  <si>
    <t>mgarch dcc (SIN_MY SRI/ESG_MY SYR_MY =)</t>
  </si>
  <si>
    <t>Untuk lihat statistik deskriptif</t>
  </si>
  <si>
    <t>Untuk lihat korelasi</t>
  </si>
  <si>
    <t>Untuk uji korelasi kondisional dan dignifikansi</t>
  </si>
  <si>
    <t xml:space="preserve">ctrl c di excel, open stata, ketik edit, ctrl v, stat, timeseries, declare, kode, monthly </t>
  </si>
  <si>
    <t>SIN_MY</t>
  </si>
  <si>
    <t>SYR_MY</t>
  </si>
  <si>
    <t>KLCI_MY</t>
  </si>
  <si>
    <t>SIN_ID</t>
  </si>
  <si>
    <t>SYR_ID</t>
  </si>
  <si>
    <t>ICI_ID</t>
  </si>
  <si>
    <t>SRI_ID</t>
  </si>
  <si>
    <t>SRI_MY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</si>
</sst>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49940-2829-4ECA-9061-C51236380955}">
  <dimension ref="A1:I96"/>
  <sheetViews>
    <sheetView tabSelected="1" workbookViewId="0">
      <selection activeCell="E6" sqref="E6"/>
    </sheetView>
  </sheetViews>
  <sheetFormatPr defaultRowHeight="14.5" x14ac:dyDescent="0.35"/>
  <cols>
    <col min="1" max="1" width="10.453125" bestFit="1" customWidth="1"/>
    <col min="2" max="2" width="7.26953125" style="17" bestFit="1" customWidth="1"/>
    <col min="3" max="3" width="11.08984375" style="17" bestFit="1" customWidth="1"/>
    <col min="4" max="4" width="7.54296875" style="17" bestFit="1" customWidth="1"/>
    <col min="5" max="5" width="8" style="18" bestFit="1" customWidth="1"/>
    <col min="6" max="6" width="6.36328125" style="17" bestFit="1" customWidth="1"/>
    <col min="7" max="7" width="10.1796875" style="17" bestFit="1" customWidth="1"/>
    <col min="8" max="8" width="6.6328125" style="17" bestFit="1" customWidth="1"/>
    <col min="9" max="9" width="5.81640625" style="17" bestFit="1" customWidth="1"/>
  </cols>
  <sheetData>
    <row r="1" spans="1:9" x14ac:dyDescent="0.35">
      <c r="A1" s="19" t="s">
        <v>20</v>
      </c>
      <c r="B1" s="6" t="s">
        <v>28</v>
      </c>
      <c r="C1" s="8" t="s">
        <v>35</v>
      </c>
      <c r="D1" s="8" t="s">
        <v>29</v>
      </c>
      <c r="E1" s="10" t="s">
        <v>30</v>
      </c>
      <c r="F1" s="12" t="s">
        <v>31</v>
      </c>
      <c r="G1" s="14" t="s">
        <v>34</v>
      </c>
      <c r="H1" s="14" t="s">
        <v>32</v>
      </c>
      <c r="I1" s="14" t="s">
        <v>33</v>
      </c>
    </row>
    <row r="2" spans="1:9" x14ac:dyDescent="0.35">
      <c r="A2" s="1">
        <v>42036</v>
      </c>
      <c r="B2" s="7">
        <v>3.8967691034941368E-2</v>
      </c>
      <c r="C2" s="9">
        <v>3.610997127615926E-2</v>
      </c>
      <c r="D2" s="9">
        <v>2.0904188229508774E-2</v>
      </c>
      <c r="E2" s="11">
        <v>2.2427944264172578E-2</v>
      </c>
      <c r="F2" s="13">
        <v>-7.9177305475802595E-2</v>
      </c>
      <c r="G2" s="15">
        <v>4.0828441395686282E-2</v>
      </c>
      <c r="H2" s="15">
        <v>1.6443148688046607E-2</v>
      </c>
      <c r="I2" s="16">
        <v>0.34191162393422408</v>
      </c>
    </row>
    <row r="3" spans="1:9" x14ac:dyDescent="0.35">
      <c r="A3" s="1">
        <v>42064</v>
      </c>
      <c r="B3" s="7">
        <v>1.2208210986634667E-2</v>
      </c>
      <c r="C3" s="9">
        <v>1.7821782178217371E-3</v>
      </c>
      <c r="D3" s="9">
        <v>1.1584809570885215E-4</v>
      </c>
      <c r="E3" s="11">
        <v>5.2547482168448095E-3</v>
      </c>
      <c r="F3" s="13">
        <v>-1.6718130970741788E-3</v>
      </c>
      <c r="G3" s="15">
        <v>3.0544993662864339E-2</v>
      </c>
      <c r="H3" s="15">
        <v>-1.262046810463509E-3</v>
      </c>
      <c r="I3" s="16">
        <v>3.0417442458494658E-2</v>
      </c>
    </row>
    <row r="4" spans="1:9" x14ac:dyDescent="0.35">
      <c r="A4" s="1">
        <v>42095</v>
      </c>
      <c r="B4" s="7">
        <v>-1.4675818469703972E-2</v>
      </c>
      <c r="C4" s="9">
        <v>-1.2156552678394895E-2</v>
      </c>
      <c r="D4" s="9">
        <v>-3.6762268378276262E-3</v>
      </c>
      <c r="E4" s="11">
        <v>-6.8331530822927887E-3</v>
      </c>
      <c r="F4" s="13">
        <v>-3.0958936290041542E-2</v>
      </c>
      <c r="G4" s="15">
        <v>-9.931127782560574E-2</v>
      </c>
      <c r="H4" s="15">
        <v>-7.1165996553704688E-2</v>
      </c>
      <c r="I4" s="16">
        <v>1.2546270107638991E-2</v>
      </c>
    </row>
    <row r="5" spans="1:9" x14ac:dyDescent="0.35">
      <c r="A5" s="1">
        <v>42125</v>
      </c>
      <c r="B5" s="7">
        <v>-2.5272792762949553E-2</v>
      </c>
      <c r="C5" s="9">
        <v>-3.5217608804402244E-2</v>
      </c>
      <c r="D5" s="9">
        <v>-3.8049825951073486E-2</v>
      </c>
      <c r="E5" s="11">
        <v>-3.891061283527749E-2</v>
      </c>
      <c r="F5" s="13">
        <v>-8.5577381851566686E-2</v>
      </c>
      <c r="G5" s="15">
        <v>4.3353587765412677E-2</v>
      </c>
      <c r="H5" s="15">
        <v>3.3145754746150426E-2</v>
      </c>
      <c r="I5" s="16">
        <v>-7.8324963016189172E-2</v>
      </c>
    </row>
    <row r="6" spans="1:9" x14ac:dyDescent="0.35">
      <c r="A6" s="1">
        <v>42156</v>
      </c>
      <c r="B6" s="7">
        <v>-2.342539283282008E-2</v>
      </c>
      <c r="C6" s="9">
        <v>-3.2562480555843598E-2</v>
      </c>
      <c r="D6" s="9">
        <v>-2.9229234004826507E-2</v>
      </c>
      <c r="E6" s="11">
        <v>-2.3393151437465599E-2</v>
      </c>
      <c r="F6" s="13">
        <v>-5.1622721909970755E-2</v>
      </c>
      <c r="G6" s="15">
        <v>-6.7268682109671518E-2</v>
      </c>
      <c r="H6" s="15">
        <v>-5.4767462740168825E-2</v>
      </c>
      <c r="I6" s="16">
        <v>2.5549203218782329E-2</v>
      </c>
    </row>
    <row r="7" spans="1:9" x14ac:dyDescent="0.35">
      <c r="A7" s="1">
        <v>42186</v>
      </c>
      <c r="B7" s="7">
        <v>-1.0333396964844425E-2</v>
      </c>
      <c r="C7" s="9">
        <v>-3.8589345053060592E-3</v>
      </c>
      <c r="D7" s="9">
        <v>1.3504138391412703E-2</v>
      </c>
      <c r="E7" s="11">
        <v>9.6681198143720986E-3</v>
      </c>
      <c r="F7" s="13">
        <v>7.8147019797936007E-2</v>
      </c>
      <c r="G7" s="15">
        <v>-3.4341237547355005E-2</v>
      </c>
      <c r="H7" s="15">
        <v>-2.1656534954407218E-2</v>
      </c>
      <c r="I7" s="16">
        <v>-5.8607840517174263E-2</v>
      </c>
    </row>
    <row r="8" spans="1:9" x14ac:dyDescent="0.35">
      <c r="A8" s="1">
        <v>42217</v>
      </c>
      <c r="B8" s="7">
        <v>-9.2415480368608499E-2</v>
      </c>
      <c r="C8" s="9">
        <v>-5.6063703863122684E-2</v>
      </c>
      <c r="D8" s="9">
        <v>-7.5189999450448144E-2</v>
      </c>
      <c r="E8" s="11">
        <v>-6.4069083185347722E-2</v>
      </c>
      <c r="F8" s="13">
        <v>-8.6689904980456797E-2</v>
      </c>
      <c r="G8" s="15">
        <v>-4.6133168658505738E-2</v>
      </c>
      <c r="H8" s="15">
        <v>-7.8899676375404515E-2</v>
      </c>
      <c r="I8" s="16">
        <v>-2.2019328067659365E-2</v>
      </c>
    </row>
    <row r="9" spans="1:9" x14ac:dyDescent="0.35">
      <c r="A9" s="1">
        <v>42248</v>
      </c>
      <c r="B9" s="7">
        <v>2.3065329303104894E-2</v>
      </c>
      <c r="C9" s="9">
        <v>1.2083903328773266E-2</v>
      </c>
      <c r="D9" s="9">
        <v>3.8949292776409607E-2</v>
      </c>
      <c r="E9" s="11">
        <v>5.1465208279077562E-3</v>
      </c>
      <c r="F9" s="13">
        <v>2.2824118643595556E-2</v>
      </c>
      <c r="G9" s="15">
        <v>-9.1892303591149582E-2</v>
      </c>
      <c r="H9" s="15">
        <v>-5.5653151570515182E-2</v>
      </c>
      <c r="I9" s="16">
        <v>-6.0993257229620498E-2</v>
      </c>
    </row>
    <row r="10" spans="1:9" x14ac:dyDescent="0.35">
      <c r="A10" s="1">
        <v>42278</v>
      </c>
      <c r="B10" s="7">
        <v>3.195759974048959E-2</v>
      </c>
      <c r="C10" s="9">
        <v>2.0612750619508978E-2</v>
      </c>
      <c r="D10" s="9">
        <v>4.2373444472014223E-2</v>
      </c>
      <c r="E10" s="11">
        <v>2.7556383556235547E-2</v>
      </c>
      <c r="F10" s="13">
        <v>0.11833855869695013</v>
      </c>
      <c r="G10" s="15">
        <v>7.3429505996812847E-2</v>
      </c>
      <c r="H10" s="15">
        <v>4.8887566039139983E-2</v>
      </c>
      <c r="I10" s="16">
        <v>-6.3353355443461448E-2</v>
      </c>
    </row>
    <row r="11" spans="1:9" x14ac:dyDescent="0.35">
      <c r="A11" s="1">
        <v>42309</v>
      </c>
      <c r="B11" s="7">
        <v>-1.3088009075537477E-2</v>
      </c>
      <c r="C11" s="9">
        <v>1.0263767796048951E-2</v>
      </c>
      <c r="D11" s="9">
        <v>9.2020950823985224E-3</v>
      </c>
      <c r="E11" s="11">
        <v>3.8722226558044592E-3</v>
      </c>
      <c r="F11" s="13">
        <v>4.1403882985498214E-2</v>
      </c>
      <c r="G11" s="15">
        <v>-9.8839707778255303E-3</v>
      </c>
      <c r="H11" s="15">
        <v>-8.2292849035187042E-3</v>
      </c>
      <c r="I11" s="16">
        <v>5.4753077454604872E-2</v>
      </c>
    </row>
    <row r="12" spans="1:9" x14ac:dyDescent="0.35">
      <c r="A12" s="1">
        <v>42339</v>
      </c>
      <c r="B12" s="7">
        <v>-2.0493331604066741E-2</v>
      </c>
      <c r="C12" s="9">
        <v>1.9445051343674972E-2</v>
      </c>
      <c r="D12" s="9">
        <v>2.3489490176199068E-2</v>
      </c>
      <c r="E12" s="11">
        <v>1.2169888048990472E-2</v>
      </c>
      <c r="F12" s="13">
        <v>2.5027252057585742E-2</v>
      </c>
      <c r="G12" s="15">
        <v>4.6243686868686976E-2</v>
      </c>
      <c r="H12" s="15">
        <v>3.7625178826895499E-2</v>
      </c>
      <c r="I12" s="16">
        <v>-1.9577587561972125E-3</v>
      </c>
    </row>
    <row r="13" spans="1:9" x14ac:dyDescent="0.35">
      <c r="A13" s="1">
        <v>42370</v>
      </c>
      <c r="B13" s="7">
        <v>4.8361046159464327E-3</v>
      </c>
      <c r="C13" s="9">
        <v>-2.8825546506643901E-2</v>
      </c>
      <c r="D13" s="9">
        <v>-2.9672711932597167E-2</v>
      </c>
      <c r="E13" s="11">
        <v>-1.4599618318355601E-2</v>
      </c>
      <c r="F13" s="13">
        <v>-1.7744459231286563E-3</v>
      </c>
      <c r="G13" s="15">
        <v>2.4815205913410708E-2</v>
      </c>
      <c r="H13" s="15">
        <v>-1.2408658486144134E-3</v>
      </c>
      <c r="I13" s="16">
        <v>3.295877409307147E-2</v>
      </c>
    </row>
    <row r="14" spans="1:9" x14ac:dyDescent="0.35">
      <c r="A14" s="1">
        <v>42401</v>
      </c>
      <c r="B14" s="7">
        <v>7.0103795061898927E-3</v>
      </c>
      <c r="C14" s="9">
        <v>-2.3171135385632894E-3</v>
      </c>
      <c r="D14" s="9">
        <v>-1.3813902785806407E-2</v>
      </c>
      <c r="E14" s="11">
        <v>-7.824679218131644E-3</v>
      </c>
      <c r="F14" s="13">
        <v>1.9849968935372456E-2</v>
      </c>
      <c r="G14" s="15">
        <v>3.0139103554868617E-2</v>
      </c>
      <c r="H14" s="15">
        <v>4.3277194919933808E-2</v>
      </c>
      <c r="I14" s="16">
        <v>4.8236959095282507E-3</v>
      </c>
    </row>
    <row r="15" spans="1:9" x14ac:dyDescent="0.35">
      <c r="A15" s="1">
        <v>42430</v>
      </c>
      <c r="B15" s="7">
        <v>3.309061689841019E-2</v>
      </c>
      <c r="C15" s="9">
        <v>3.1630170316301602E-2</v>
      </c>
      <c r="D15" s="9">
        <v>2.0333506405295326E-2</v>
      </c>
      <c r="E15" s="11">
        <v>3.7969481794833011E-2</v>
      </c>
      <c r="F15" s="13">
        <v>1.771764145062743E-2</v>
      </c>
      <c r="G15" s="15">
        <v>2.4649019397706487E-2</v>
      </c>
      <c r="H15" s="15">
        <v>3.1491895468078006E-2</v>
      </c>
      <c r="I15" s="16">
        <v>3.3756763541595049E-2</v>
      </c>
    </row>
    <row r="16" spans="1:9" x14ac:dyDescent="0.35">
      <c r="A16" s="1">
        <v>42461</v>
      </c>
      <c r="B16" s="7">
        <v>8.6144295358801498E-2</v>
      </c>
      <c r="C16" s="9">
        <v>-2.1440823327615783E-2</v>
      </c>
      <c r="D16" s="9">
        <v>-2.3148729708256533E-2</v>
      </c>
      <c r="E16" s="11">
        <v>-2.6118142968595291E-2</v>
      </c>
      <c r="F16" s="13">
        <v>0.10048230164537694</v>
      </c>
      <c r="G16" s="15">
        <v>-2.8344315448174864E-2</v>
      </c>
      <c r="H16" s="15">
        <v>9.9416329933936978E-3</v>
      </c>
      <c r="I16" s="16">
        <v>1.5597510885058957E-2</v>
      </c>
    </row>
    <row r="17" spans="1:9" x14ac:dyDescent="0.35">
      <c r="A17" s="1">
        <v>42491</v>
      </c>
      <c r="B17" s="7">
        <v>-5.3755794017457267E-2</v>
      </c>
      <c r="C17" s="9">
        <v>-2.9141104294478429E-2</v>
      </c>
      <c r="D17" s="9">
        <v>-2.3454028547816023E-2</v>
      </c>
      <c r="E17" s="11">
        <v>-2.7930556219809666E-2</v>
      </c>
      <c r="F17" s="13">
        <v>1.3150997509281547E-2</v>
      </c>
      <c r="G17" s="15">
        <v>-5.0233225690706042E-3</v>
      </c>
      <c r="H17" s="15">
        <v>-7.0494093738093077E-3</v>
      </c>
      <c r="I17" s="16">
        <v>-1.4009424393533305E-3</v>
      </c>
    </row>
    <row r="18" spans="1:9" x14ac:dyDescent="0.35">
      <c r="A18" s="1">
        <v>42522</v>
      </c>
      <c r="B18" s="7">
        <v>1.6979780071985841E-2</v>
      </c>
      <c r="C18" s="9">
        <v>1.4218009478672883E-2</v>
      </c>
      <c r="D18" s="9">
        <v>1.5122489649943394E-2</v>
      </c>
      <c r="E18" s="11">
        <v>1.7269372693726893E-2</v>
      </c>
      <c r="F18" s="13">
        <v>-1.1434424668905695E-2</v>
      </c>
      <c r="G18" s="15">
        <v>5.7879552830869131E-2</v>
      </c>
      <c r="H18" s="15">
        <v>6.1336744483530561E-2</v>
      </c>
      <c r="I18" s="16">
        <v>-8.621091532589345E-3</v>
      </c>
    </row>
    <row r="19" spans="1:9" x14ac:dyDescent="0.35">
      <c r="A19" s="1">
        <v>42552</v>
      </c>
      <c r="B19" s="7">
        <v>5.7401463870347627E-2</v>
      </c>
      <c r="C19" s="9">
        <v>4.339118825100235E-3</v>
      </c>
      <c r="D19" s="9">
        <v>7.917910854717939E-3</v>
      </c>
      <c r="E19" s="11">
        <v>-4.9574385761265254E-4</v>
      </c>
      <c r="F19" s="13">
        <v>-1.7951237527223531E-2</v>
      </c>
      <c r="G19" s="15">
        <v>6.0167035963865606E-2</v>
      </c>
      <c r="H19" s="15">
        <v>4.7004941545136868E-2</v>
      </c>
      <c r="I19" s="16">
        <v>4.5816932991043162E-2</v>
      </c>
    </row>
    <row r="20" spans="1:9" x14ac:dyDescent="0.35">
      <c r="A20" s="1">
        <v>42583</v>
      </c>
      <c r="B20" s="7">
        <v>1.8309448390217843E-2</v>
      </c>
      <c r="C20" s="9">
        <v>1.7946161515453564E-2</v>
      </c>
      <c r="D20" s="9">
        <v>1.8996177483467561E-2</v>
      </c>
      <c r="E20" s="11">
        <v>1.5000665352092202E-2</v>
      </c>
      <c r="F20" s="13">
        <v>1.2924776369381523E-2</v>
      </c>
      <c r="G20" s="15">
        <v>3.5723472668810333E-2</v>
      </c>
      <c r="H20" s="15">
        <v>2.8318176585702702E-2</v>
      </c>
      <c r="I20" s="16">
        <v>3.973713300395719E-2</v>
      </c>
    </row>
    <row r="21" spans="1:9" x14ac:dyDescent="0.35">
      <c r="A21" s="1">
        <v>42614</v>
      </c>
      <c r="B21" s="7">
        <v>-1.2216751617255207E-2</v>
      </c>
      <c r="C21" s="9">
        <v>-1.599738818152131E-2</v>
      </c>
      <c r="D21" s="9">
        <v>-6.622420658863256E-3</v>
      </c>
      <c r="E21" s="11">
        <v>-1.5202078590753603E-2</v>
      </c>
      <c r="F21" s="13">
        <v>2.0842465821775246E-2</v>
      </c>
      <c r="G21" s="15">
        <v>4.8120207382571526E-3</v>
      </c>
      <c r="H21" s="15">
        <v>-9.6831971342213694E-3</v>
      </c>
      <c r="I21" s="16">
        <v>3.2608911245324154E-2</v>
      </c>
    </row>
    <row r="22" spans="1:9" x14ac:dyDescent="0.35">
      <c r="A22" s="1">
        <v>42644</v>
      </c>
      <c r="B22" s="7">
        <v>2.2701363038612333E-3</v>
      </c>
      <c r="C22" s="9">
        <v>1.5372705153727026E-2</v>
      </c>
      <c r="D22" s="9">
        <v>2.9016421853260907E-3</v>
      </c>
      <c r="E22" s="11">
        <v>1.2048046957732039E-2</v>
      </c>
      <c r="F22" s="13">
        <v>5.6494308209493097E-2</v>
      </c>
      <c r="G22" s="15">
        <v>-2.2245566335043787E-3</v>
      </c>
      <c r="H22" s="15">
        <v>1.2942971796755734E-2</v>
      </c>
      <c r="I22" s="16">
        <v>-3.9505213395439583E-3</v>
      </c>
    </row>
    <row r="23" spans="1:9" x14ac:dyDescent="0.35">
      <c r="A23" s="1">
        <v>42675</v>
      </c>
      <c r="B23" s="7">
        <v>-4.900411278095998E-2</v>
      </c>
      <c r="C23" s="9">
        <v>-3.9102494281668634E-2</v>
      </c>
      <c r="D23" s="9">
        <v>-3.8987371618724447E-2</v>
      </c>
      <c r="E23" s="11">
        <v>-3.1893139447281338E-2</v>
      </c>
      <c r="F23" s="13">
        <v>-6.6374987384821268E-2</v>
      </c>
      <c r="G23" s="15">
        <v>-8.4907413141760132E-2</v>
      </c>
      <c r="H23" s="15">
        <v>-5.1445151210802363E-2</v>
      </c>
      <c r="I23" s="16">
        <v>1.0762329967375616E-2</v>
      </c>
    </row>
    <row r="24" spans="1:9" x14ac:dyDescent="0.35">
      <c r="A24" s="1">
        <v>42705</v>
      </c>
      <c r="B24" s="7">
        <v>-1.4023642582145961E-2</v>
      </c>
      <c r="C24" s="9">
        <v>1.4849240535025968E-2</v>
      </c>
      <c r="D24" s="9">
        <v>9.5141746329568348E-3</v>
      </c>
      <c r="E24" s="11">
        <v>1.3964375710262444E-2</v>
      </c>
      <c r="F24" s="13">
        <v>9.4229562941365672E-4</v>
      </c>
      <c r="G24" s="15">
        <v>4.9641310232810022E-2</v>
      </c>
      <c r="H24" s="15">
        <v>1.2235294117647132E-2</v>
      </c>
      <c r="I24" s="16">
        <v>-5.0461911849404899E-2</v>
      </c>
    </row>
    <row r="25" spans="1:9" x14ac:dyDescent="0.35">
      <c r="A25" s="1">
        <v>42736</v>
      </c>
      <c r="B25" s="7">
        <v>-1.4912972387527337E-3</v>
      </c>
      <c r="C25" s="9">
        <v>1.8094493465877413E-2</v>
      </c>
      <c r="D25" s="9">
        <v>1.7742845680440676E-2</v>
      </c>
      <c r="E25" s="11">
        <v>1.8157675135375455E-2</v>
      </c>
      <c r="F25" s="13">
        <v>-2.5924723313888707E-2</v>
      </c>
      <c r="G25" s="15">
        <v>-4.9002224443082682E-3</v>
      </c>
      <c r="H25" s="15">
        <v>2.3245002324498911E-3</v>
      </c>
      <c r="I25" s="16">
        <v>2.8705255582634068E-2</v>
      </c>
    </row>
    <row r="26" spans="1:9" x14ac:dyDescent="0.35">
      <c r="A26" s="1">
        <v>42767</v>
      </c>
      <c r="B26" s="7">
        <v>3.7076947939328357E-2</v>
      </c>
      <c r="C26" s="9">
        <v>7.7893582007679896E-3</v>
      </c>
      <c r="D26" s="9">
        <v>1.3098247487853277E-2</v>
      </c>
      <c r="E26" s="11">
        <v>1.3299113392440515E-2</v>
      </c>
      <c r="F26" s="13">
        <v>-3.3568031310227554E-3</v>
      </c>
      <c r="G26" s="15">
        <v>2.6533190786276598E-2</v>
      </c>
      <c r="H26" s="15">
        <v>1.3102968460111429E-2</v>
      </c>
      <c r="I26" s="16">
        <v>-4.9236422952406514E-4</v>
      </c>
    </row>
    <row r="27" spans="1:9" x14ac:dyDescent="0.35">
      <c r="A27" s="1">
        <v>42795</v>
      </c>
      <c r="B27" s="7">
        <v>4.1186313004654689E-2</v>
      </c>
      <c r="C27" s="9">
        <v>3.6359677770520328E-2</v>
      </c>
      <c r="D27" s="9">
        <v>3.4194264495166611E-2</v>
      </c>
      <c r="E27" s="11">
        <v>2.7347278556120333E-2</v>
      </c>
      <c r="F27" s="13">
        <v>2.0824316220070978E-2</v>
      </c>
      <c r="G27" s="15">
        <v>4.001767342043807E-2</v>
      </c>
      <c r="H27" s="15">
        <v>3.2906031818702067E-2</v>
      </c>
      <c r="I27" s="16">
        <v>1.748905669719597E-2</v>
      </c>
    </row>
    <row r="28" spans="1:9" x14ac:dyDescent="0.35">
      <c r="A28" s="1">
        <v>42826</v>
      </c>
      <c r="B28" s="7">
        <v>8.2066075317663231E-3</v>
      </c>
      <c r="C28" s="9">
        <v>1.4705882352941176E-2</v>
      </c>
      <c r="D28" s="9">
        <v>1.2578699808138699E-2</v>
      </c>
      <c r="E28" s="11">
        <v>1.6073881236028039E-2</v>
      </c>
      <c r="F28" s="13">
        <v>1.9826219444995418E-2</v>
      </c>
      <c r="G28" s="15">
        <v>2.5702494386113887E-2</v>
      </c>
      <c r="H28" s="15">
        <v>2.3269987256911675E-2</v>
      </c>
      <c r="I28" s="16">
        <v>3.3678195362981646E-2</v>
      </c>
    </row>
    <row r="29" spans="1:9" x14ac:dyDescent="0.35">
      <c r="A29" s="1">
        <v>42856</v>
      </c>
      <c r="B29" s="7">
        <v>-4.4044270939184955E-2</v>
      </c>
      <c r="C29" s="9">
        <v>8.3850931677018868E-3</v>
      </c>
      <c r="D29" s="9">
        <v>-1.2986712651156359E-2</v>
      </c>
      <c r="E29" s="11">
        <v>-1.2386457473162985E-3</v>
      </c>
      <c r="F29" s="13">
        <v>1.0446883599952456E-2</v>
      </c>
      <c r="G29" s="15">
        <v>2.1892843406999894E-2</v>
      </c>
      <c r="H29" s="15">
        <v>-8.5007309545724902E-3</v>
      </c>
      <c r="I29" s="16">
        <v>2.1046994418752209E-2</v>
      </c>
    </row>
    <row r="30" spans="1:9" x14ac:dyDescent="0.35">
      <c r="A30" s="1">
        <v>42887</v>
      </c>
      <c r="B30" s="7">
        <v>-1.4966992537760519E-2</v>
      </c>
      <c r="C30" s="9">
        <v>3.5930602607535159E-3</v>
      </c>
      <c r="D30" s="9">
        <v>1.4159615495757739E-3</v>
      </c>
      <c r="E30" s="11">
        <v>-1.2458448243640914E-3</v>
      </c>
      <c r="F30" s="13">
        <v>8.7517916762314043E-3</v>
      </c>
      <c r="G30" s="15">
        <v>3.0224950059349748E-2</v>
      </c>
      <c r="H30" s="15">
        <v>1.146788990825685E-2</v>
      </c>
      <c r="I30" s="16">
        <v>9.2971264436753787E-3</v>
      </c>
    </row>
    <row r="31" spans="1:9" x14ac:dyDescent="0.35">
      <c r="A31" s="1">
        <v>42917</v>
      </c>
      <c r="B31" s="7">
        <v>2.8663270896638615E-3</v>
      </c>
      <c r="C31" s="9">
        <v>-8.899345335515594E-3</v>
      </c>
      <c r="D31" s="9">
        <v>-8.1507391506104847E-3</v>
      </c>
      <c r="E31" s="11">
        <v>-2.0638781631484916E-3</v>
      </c>
      <c r="F31" s="13">
        <v>-1.6089284180599208E-2</v>
      </c>
      <c r="G31" s="15">
        <v>1.2364760432766551E-2</v>
      </c>
      <c r="H31" s="15">
        <v>-3.6713097937588102E-3</v>
      </c>
      <c r="I31" s="16">
        <v>1.5955167894621352E-2</v>
      </c>
    </row>
    <row r="32" spans="1:9" x14ac:dyDescent="0.35">
      <c r="A32" s="1">
        <v>42948</v>
      </c>
      <c r="B32" s="7">
        <v>1.0410686683838734E-2</v>
      </c>
      <c r="C32" s="9">
        <v>1.2798018371348929E-2</v>
      </c>
      <c r="D32" s="9">
        <v>2.4729430932154653E-3</v>
      </c>
      <c r="E32" s="11">
        <v>7.4601001119299721E-3</v>
      </c>
      <c r="F32" s="13">
        <v>-3.7943411505282174E-2</v>
      </c>
      <c r="G32" s="15">
        <v>8.0499653018742672E-4</v>
      </c>
      <c r="H32" s="15">
        <v>8.3992630324049612E-3</v>
      </c>
      <c r="I32" s="16">
        <v>1.9265042064866094E-3</v>
      </c>
    </row>
    <row r="33" spans="1:9" x14ac:dyDescent="0.35">
      <c r="A33" s="1">
        <v>42979</v>
      </c>
      <c r="B33" s="7">
        <v>-2.0993851532742575E-3</v>
      </c>
      <c r="C33" s="9">
        <v>-9.2734128197288386E-3</v>
      </c>
      <c r="D33" s="9">
        <v>3.7869369500098168E-3</v>
      </c>
      <c r="E33" s="11">
        <v>-9.914502921338263E-3</v>
      </c>
      <c r="F33" s="13">
        <v>1.3596671142965755E-2</v>
      </c>
      <c r="G33" s="15">
        <v>3.3006046485826749E-3</v>
      </c>
      <c r="H33" s="15">
        <v>-9.9951636305014441E-3</v>
      </c>
      <c r="I33" s="16">
        <v>3.9582877236929801E-3</v>
      </c>
    </row>
    <row r="34" spans="1:9" x14ac:dyDescent="0.35">
      <c r="A34" s="1">
        <v>43009</v>
      </c>
      <c r="B34" s="7">
        <v>-1.6347661459894094E-2</v>
      </c>
      <c r="C34" s="9">
        <v>5.8629911540834514E-3</v>
      </c>
      <c r="D34" s="9">
        <v>2.2297550199767494E-2</v>
      </c>
      <c r="E34" s="11">
        <v>-4.3632303853996142E-3</v>
      </c>
      <c r="F34" s="13">
        <v>-1.6471299330640655E-2</v>
      </c>
      <c r="G34" s="15">
        <v>4.9484422082767907E-3</v>
      </c>
      <c r="H34" s="15">
        <v>8.7933561309233282E-3</v>
      </c>
      <c r="I34" s="16">
        <v>6.2746506277441428E-3</v>
      </c>
    </row>
    <row r="35" spans="1:9" x14ac:dyDescent="0.35">
      <c r="A35" s="1">
        <v>43040</v>
      </c>
      <c r="B35" s="7">
        <v>-1.4036736016051272E-2</v>
      </c>
      <c r="C35" s="9">
        <v>-1.3702832600470373E-2</v>
      </c>
      <c r="D35" s="9">
        <v>-1.242631501706065E-2</v>
      </c>
      <c r="E35" s="11">
        <v>-1.7197583413428631E-2</v>
      </c>
      <c r="F35" s="13">
        <v>3.4722143975415461E-2</v>
      </c>
      <c r="G35" s="15">
        <v>-9.352992957745791E-4</v>
      </c>
      <c r="H35" s="15">
        <v>-3.0616088243206874E-2</v>
      </c>
      <c r="I35" s="16">
        <v>1.7782201682819309E-2</v>
      </c>
    </row>
    <row r="36" spans="1:9" x14ac:dyDescent="0.35">
      <c r="A36" s="1">
        <v>43070</v>
      </c>
      <c r="B36" s="7">
        <v>3.7960232360024049E-2</v>
      </c>
      <c r="C36" s="9">
        <v>5.3499222395023353E-2</v>
      </c>
      <c r="D36" s="9">
        <v>2.9625817037727924E-2</v>
      </c>
      <c r="E36" s="11">
        <v>4.5958343520426603E-2</v>
      </c>
      <c r="F36" s="13">
        <v>4.1155224622249506E-2</v>
      </c>
      <c r="G36" s="15">
        <v>8.9156891899333651E-2</v>
      </c>
      <c r="H36" s="15">
        <v>5.3841030195381979E-2</v>
      </c>
      <c r="I36" s="16">
        <v>-8.9323882430952239E-3</v>
      </c>
    </row>
    <row r="37" spans="1:9" x14ac:dyDescent="0.35">
      <c r="A37" s="1">
        <v>43101</v>
      </c>
      <c r="B37" s="7">
        <v>1.627019156433946E-2</v>
      </c>
      <c r="C37" s="9">
        <v>3.9661450644621656E-2</v>
      </c>
      <c r="D37" s="9">
        <v>2.6695642761138096E-2</v>
      </c>
      <c r="E37" s="11">
        <v>3.9943010112365798E-2</v>
      </c>
      <c r="F37" s="13">
        <v>-6.3251231698683817E-3</v>
      </c>
      <c r="G37" s="15">
        <v>1.0466174537364713E-2</v>
      </c>
      <c r="H37" s="15">
        <v>4.0029495417676149E-2</v>
      </c>
      <c r="I37" s="16">
        <v>6.7793389959375311E-2</v>
      </c>
    </row>
    <row r="38" spans="1:9" x14ac:dyDescent="0.35">
      <c r="A38" s="1">
        <v>43132</v>
      </c>
      <c r="B38" s="7">
        <v>4.2237623839650337E-2</v>
      </c>
      <c r="C38" s="9">
        <v>-5.0170390003788159E-3</v>
      </c>
      <c r="D38" s="9">
        <v>-1.6879422758007114E-2</v>
      </c>
      <c r="E38" s="11">
        <v>-6.625351871474533E-3</v>
      </c>
      <c r="F38" s="13">
        <v>4.8094758696358139E-2</v>
      </c>
      <c r="G38" s="15">
        <v>-3.2524393294970091E-4</v>
      </c>
      <c r="H38" s="15">
        <v>-8.761268104932737E-3</v>
      </c>
      <c r="I38" s="16">
        <v>3.9331445278850227E-2</v>
      </c>
    </row>
    <row r="39" spans="1:9" x14ac:dyDescent="0.35">
      <c r="A39" s="1">
        <v>43160</v>
      </c>
      <c r="B39" s="7">
        <v>-1.9511870454038419E-2</v>
      </c>
      <c r="C39" s="9">
        <v>3.5201217771858489E-3</v>
      </c>
      <c r="D39" s="9">
        <v>-1.4654243415197638E-2</v>
      </c>
      <c r="E39" s="11">
        <v>3.9112164637431258E-3</v>
      </c>
      <c r="F39" s="13">
        <v>-5.3696439535892419E-2</v>
      </c>
      <c r="G39" s="15">
        <v>-6.7072102510198489E-2</v>
      </c>
      <c r="H39" s="15">
        <v>-6.2024217033668762E-2</v>
      </c>
      <c r="I39" s="16">
        <v>-1.2736233948854342E-3</v>
      </c>
    </row>
    <row r="40" spans="1:9" x14ac:dyDescent="0.35">
      <c r="A40" s="1">
        <v>43191</v>
      </c>
      <c r="B40" s="7">
        <v>6.6488537535216363E-3</v>
      </c>
      <c r="C40" s="9">
        <v>-2.844141069396611E-4</v>
      </c>
      <c r="D40" s="9">
        <v>-4.6558242396117196E-3</v>
      </c>
      <c r="E40" s="11">
        <v>3.7081557962069774E-3</v>
      </c>
      <c r="F40" s="13">
        <v>-1.4391385515230434E-2</v>
      </c>
      <c r="G40" s="15">
        <v>-4.3056039917375208E-2</v>
      </c>
      <c r="H40" s="15">
        <v>-1.448880657987906E-2</v>
      </c>
      <c r="I40" s="16">
        <v>-6.187926047715761E-2</v>
      </c>
    </row>
    <row r="41" spans="1:9" x14ac:dyDescent="0.35">
      <c r="A41" s="1">
        <v>43221</v>
      </c>
      <c r="B41" s="7">
        <v>7.8570731037491709E-2</v>
      </c>
      <c r="C41" s="9">
        <v>-8.7908961593172158E-2</v>
      </c>
      <c r="D41" s="9">
        <v>-7.5416466071436719E-2</v>
      </c>
      <c r="E41" s="11">
        <v>-6.9371300865604141E-2</v>
      </c>
      <c r="F41" s="13">
        <v>6.4129391196009232E-3</v>
      </c>
      <c r="G41" s="15">
        <v>-1.897847050908286E-2</v>
      </c>
      <c r="H41" s="15">
        <v>-2.1610567622837543E-2</v>
      </c>
      <c r="I41" s="16">
        <v>-3.1409276959105961E-2</v>
      </c>
    </row>
    <row r="42" spans="1:9" x14ac:dyDescent="0.35">
      <c r="A42" s="1">
        <v>43252</v>
      </c>
      <c r="B42" s="7">
        <v>-1.7647709474584029E-2</v>
      </c>
      <c r="C42" s="9">
        <v>-2.0586400499064208E-2</v>
      </c>
      <c r="D42" s="9">
        <v>-6.8511995348214619E-3</v>
      </c>
      <c r="E42" s="11">
        <v>-2.8219829715848316E-2</v>
      </c>
      <c r="F42" s="13">
        <v>-3.639041540686222E-2</v>
      </c>
      <c r="G42" s="15">
        <v>-4.0120017145306372E-2</v>
      </c>
      <c r="H42" s="15">
        <v>-2.1297028584340807E-2</v>
      </c>
      <c r="I42" s="16">
        <v>-1.8363710317677966E-3</v>
      </c>
    </row>
    <row r="43" spans="1:9" x14ac:dyDescent="0.35">
      <c r="A43" s="1">
        <v>43282</v>
      </c>
      <c r="B43" s="7">
        <v>8.6457152561958232E-3</v>
      </c>
      <c r="C43" s="9">
        <v>6.2738853503184741E-2</v>
      </c>
      <c r="D43" s="9">
        <v>5.9391939665331198E-2</v>
      </c>
      <c r="E43" s="11">
        <v>5.4832988471770615E-2</v>
      </c>
      <c r="F43" s="13">
        <v>2.0231433711974552E-2</v>
      </c>
      <c r="G43" s="15">
        <v>2.6108183739692124E-2</v>
      </c>
      <c r="H43" s="15">
        <v>2.0202020202020204E-2</v>
      </c>
      <c r="I43" s="16">
        <v>-3.0809295603055526E-2</v>
      </c>
    </row>
    <row r="44" spans="1:9" x14ac:dyDescent="0.35">
      <c r="A44" s="1">
        <v>43313</v>
      </c>
      <c r="B44" s="7">
        <v>-5.3662900376066802E-2</v>
      </c>
      <c r="C44" s="9">
        <v>2.0377584656877411E-2</v>
      </c>
      <c r="D44" s="9">
        <v>-2.8725874753627158E-4</v>
      </c>
      <c r="E44" s="11">
        <v>1.9845873616365466E-2</v>
      </c>
      <c r="F44" s="13">
        <v>-3.1219391054410437E-2</v>
      </c>
      <c r="G44" s="15">
        <v>3.2290820471161642E-2</v>
      </c>
      <c r="H44" s="15">
        <v>1.0240452616690253E-2</v>
      </c>
      <c r="I44" s="16">
        <v>2.3659329555477247E-2</v>
      </c>
    </row>
    <row r="45" spans="1:9" x14ac:dyDescent="0.35">
      <c r="A45" s="1">
        <v>43344</v>
      </c>
      <c r="B45" s="7">
        <v>-2.7835559082847882E-3</v>
      </c>
      <c r="C45" s="9">
        <v>-1.1747430249632892E-2</v>
      </c>
      <c r="D45" s="9">
        <v>-1.0034301366354696E-2</v>
      </c>
      <c r="E45" s="11">
        <v>-1.4568655682929773E-2</v>
      </c>
      <c r="F45" s="13">
        <v>6.1612207726064131E-3</v>
      </c>
      <c r="G45" s="15">
        <v>-1.9673421207947743E-3</v>
      </c>
      <c r="H45" s="15">
        <v>-2.6321684587813556E-3</v>
      </c>
      <c r="I45" s="16">
        <v>1.3815864446478452E-2</v>
      </c>
    </row>
    <row r="46" spans="1:9" x14ac:dyDescent="0.35">
      <c r="A46" s="1">
        <v>43374</v>
      </c>
      <c r="B46" s="7">
        <v>-8.9118068695468927E-2</v>
      </c>
      <c r="C46" s="9">
        <v>-5.5869242199108445E-2</v>
      </c>
      <c r="D46" s="9">
        <v>-7.1520740525737855E-2</v>
      </c>
      <c r="E46" s="11">
        <v>-4.6778016339960461E-2</v>
      </c>
      <c r="F46" s="13">
        <v>-5.7378051275755543E-2</v>
      </c>
      <c r="G46" s="15">
        <v>-3.2665934499169972E-3</v>
      </c>
      <c r="H46" s="15">
        <v>-2.217979673198954E-2</v>
      </c>
      <c r="I46" s="16">
        <v>-6.9630334456917522E-3</v>
      </c>
    </row>
    <row r="47" spans="1:9" x14ac:dyDescent="0.35">
      <c r="A47" s="1">
        <v>43405</v>
      </c>
      <c r="B47" s="7">
        <v>-1.1567042205829103E-2</v>
      </c>
      <c r="C47" s="9">
        <v>-1.5003672227468333E-2</v>
      </c>
      <c r="D47" s="9">
        <v>-1.1751833622442837E-2</v>
      </c>
      <c r="E47" s="11">
        <v>-1.7206175735840493E-2</v>
      </c>
      <c r="F47" s="13">
        <v>3.114839138866652E-2</v>
      </c>
      <c r="G47" s="15">
        <v>5.6618166407684759E-2</v>
      </c>
      <c r="H47" s="15">
        <v>2.3429424600895903E-2</v>
      </c>
      <c r="I47" s="16">
        <v>-2.4245299187223481E-2</v>
      </c>
    </row>
    <row r="48" spans="1:9" x14ac:dyDescent="0.35">
      <c r="A48" s="1">
        <v>43435</v>
      </c>
      <c r="B48" s="7">
        <v>-2.5687403213873774E-2</v>
      </c>
      <c r="C48" s="9">
        <v>2.1303792074994193E-4</v>
      </c>
      <c r="D48" s="9">
        <v>-1.1089583132762124E-2</v>
      </c>
      <c r="E48" s="11">
        <v>6.3814841713000061E-3</v>
      </c>
      <c r="F48" s="13">
        <v>-1.0322815281572705E-2</v>
      </c>
      <c r="G48" s="15">
        <v>1.2567180940666832E-2</v>
      </c>
      <c r="H48" s="15">
        <v>3.2431825833239822E-2</v>
      </c>
      <c r="I48" s="16">
        <v>3.8492386335300312E-2</v>
      </c>
    </row>
    <row r="49" spans="1:9" x14ac:dyDescent="0.35">
      <c r="A49" s="1">
        <v>43466</v>
      </c>
      <c r="B49" s="7">
        <v>4.2610685200171625E-2</v>
      </c>
      <c r="C49" s="9">
        <v>2.6624068157614484E-3</v>
      </c>
      <c r="D49" s="9">
        <v>4.1879519454679883E-3</v>
      </c>
      <c r="E49" s="11">
        <v>-4.1701664517502599E-3</v>
      </c>
      <c r="F49" s="13">
        <v>0.1582164143176028</v>
      </c>
      <c r="G49" s="15">
        <v>6.4353428926034503E-2</v>
      </c>
      <c r="H49" s="15">
        <v>5.1630434782608696E-2</v>
      </c>
      <c r="I49" s="16">
        <v>2.2848611335316394E-2</v>
      </c>
    </row>
    <row r="50" spans="1:9" x14ac:dyDescent="0.35">
      <c r="A50" s="1">
        <v>43497</v>
      </c>
      <c r="B50" s="7">
        <v>0.10960991238264517</v>
      </c>
      <c r="C50" s="9">
        <v>1.1046202867764181E-2</v>
      </c>
      <c r="D50" s="9">
        <v>1.5537614443835635E-2</v>
      </c>
      <c r="E50" s="11">
        <v>1.4374558219930769E-2</v>
      </c>
      <c r="F50" s="13">
        <v>0.10855761225402283</v>
      </c>
      <c r="G50" s="15">
        <v>-3.5652260209398115E-2</v>
      </c>
      <c r="H50" s="15">
        <v>-1.1886304909560783E-2</v>
      </c>
      <c r="I50" s="16">
        <v>5.4640616306905039E-2</v>
      </c>
    </row>
    <row r="51" spans="1:9" x14ac:dyDescent="0.35">
      <c r="A51" s="1">
        <v>43525</v>
      </c>
      <c r="B51" s="7">
        <v>2.8052101019233219E-2</v>
      </c>
      <c r="C51" s="9">
        <v>-3.3511923521378273E-2</v>
      </c>
      <c r="D51" s="9">
        <v>-3.7546528288603747E-3</v>
      </c>
      <c r="E51" s="11">
        <v>-3.7535207556229563E-2</v>
      </c>
      <c r="F51" s="13">
        <v>4.2139750498222661E-4</v>
      </c>
      <c r="G51" s="15">
        <v>2.9303558105431029E-2</v>
      </c>
      <c r="H51" s="15">
        <v>-5.3870292887029355E-3</v>
      </c>
      <c r="I51" s="16">
        <v>-1.3718278738969894E-2</v>
      </c>
    </row>
    <row r="52" spans="1:9" x14ac:dyDescent="0.35">
      <c r="A52" s="1">
        <v>43556</v>
      </c>
      <c r="B52" s="7">
        <v>1.8330905226028128E-2</v>
      </c>
      <c r="C52" s="9">
        <v>-9.7826086956519275E-4</v>
      </c>
      <c r="D52" s="9">
        <v>1.2747196711858066E-2</v>
      </c>
      <c r="E52" s="11">
        <v>-8.1526864318620705E-4</v>
      </c>
      <c r="F52" s="13">
        <v>2.8528886271092593E-2</v>
      </c>
      <c r="G52" s="15">
        <v>1.3047390521895689E-2</v>
      </c>
      <c r="H52" s="15">
        <v>-9.1497081558604455E-3</v>
      </c>
      <c r="I52" s="16">
        <v>3.943095643483917E-3</v>
      </c>
    </row>
    <row r="53" spans="1:9" x14ac:dyDescent="0.35">
      <c r="A53" s="1">
        <v>43586</v>
      </c>
      <c r="B53" s="7">
        <v>-1.9817209711099529E-2</v>
      </c>
      <c r="C53" s="9">
        <v>6.5281253400065282E-3</v>
      </c>
      <c r="D53" s="9">
        <v>-3.4873553799298677E-3</v>
      </c>
      <c r="E53" s="11">
        <v>5.157432609344286E-3</v>
      </c>
      <c r="F53" s="13">
        <v>-6.7400284701280691E-2</v>
      </c>
      <c r="G53" s="15">
        <v>-4.1598815692079974E-2</v>
      </c>
      <c r="H53" s="15">
        <v>-3.8900387411771015E-2</v>
      </c>
      <c r="I53" s="16">
        <v>-2.0719338176227141E-3</v>
      </c>
    </row>
    <row r="54" spans="1:9" x14ac:dyDescent="0.35">
      <c r="A54" s="1">
        <v>43617</v>
      </c>
      <c r="B54" s="7">
        <v>3.1745682567292995E-2</v>
      </c>
      <c r="C54" s="9">
        <v>1.2863474219003326E-2</v>
      </c>
      <c r="D54" s="9">
        <v>2.8583975442044059E-2</v>
      </c>
      <c r="E54" s="11">
        <v>1.2945552351644163E-2</v>
      </c>
      <c r="F54" s="13">
        <v>8.6912273157322487E-3</v>
      </c>
      <c r="G54" s="15">
        <v>4.2863762743280756E-2</v>
      </c>
      <c r="H54" s="15">
        <v>2.711209276642737E-2</v>
      </c>
      <c r="I54" s="16">
        <v>-3.8144296554957893E-2</v>
      </c>
    </row>
    <row r="55" spans="1:9" x14ac:dyDescent="0.35">
      <c r="A55" s="1">
        <v>43647</v>
      </c>
      <c r="B55" s="7">
        <v>1.9660467862058297E-2</v>
      </c>
      <c r="C55" s="9">
        <v>-2.5186766275346877E-2</v>
      </c>
      <c r="D55" s="9">
        <v>-1.0714633056785907E-2</v>
      </c>
      <c r="E55" s="11">
        <v>-2.2282956468695745E-2</v>
      </c>
      <c r="F55" s="13">
        <v>-3.8347378831948477E-2</v>
      </c>
      <c r="G55" s="15">
        <v>1.3824088474166292E-3</v>
      </c>
      <c r="H55" s="15">
        <v>5.2147733992796031E-3</v>
      </c>
      <c r="I55" s="16">
        <v>2.4079384149642457E-2</v>
      </c>
    </row>
    <row r="56" spans="1:9" x14ac:dyDescent="0.35">
      <c r="A56" s="1">
        <v>43678</v>
      </c>
      <c r="B56" s="7">
        <v>-2.2396669055619024E-2</v>
      </c>
      <c r="C56" s="9">
        <v>-1.8502299102255284E-2</v>
      </c>
      <c r="D56" s="9">
        <v>-7.5723114503614313E-3</v>
      </c>
      <c r="E56" s="11">
        <v>-1.3903246129661559E-2</v>
      </c>
      <c r="F56" s="13">
        <v>-6.8795034268331084E-2</v>
      </c>
      <c r="G56" s="15">
        <v>-1.4544558116602928E-2</v>
      </c>
      <c r="H56" s="15">
        <v>3.1447213605733361E-2</v>
      </c>
      <c r="I56" s="16">
        <v>5.0130267815946192E-3</v>
      </c>
    </row>
    <row r="57" spans="1:9" x14ac:dyDescent="0.35">
      <c r="A57" s="1">
        <v>43709</v>
      </c>
      <c r="B57" s="7">
        <v>-1.055614395135315E-2</v>
      </c>
      <c r="C57" s="9">
        <v>-1.5504740658114866E-2</v>
      </c>
      <c r="D57" s="9">
        <v>-1.2056698888940107E-2</v>
      </c>
      <c r="E57" s="11">
        <v>-1.7510886151326819E-2</v>
      </c>
      <c r="F57" s="13">
        <v>-0.10614745335948277</v>
      </c>
      <c r="G57" s="15">
        <v>-2.6191369606003819E-2</v>
      </c>
      <c r="H57" s="15">
        <v>-2.037747588924612E-2</v>
      </c>
      <c r="I57" s="16">
        <v>-9.7073187699181253E-3</v>
      </c>
    </row>
    <row r="58" spans="1:9" x14ac:dyDescent="0.35">
      <c r="A58" s="1">
        <v>43739</v>
      </c>
      <c r="B58" s="7">
        <v>2.4625059241579542E-2</v>
      </c>
      <c r="C58" s="9">
        <v>6.7980965329707682E-3</v>
      </c>
      <c r="D58" s="9">
        <v>5.2130997932604744E-3</v>
      </c>
      <c r="E58" s="11">
        <v>8.883080478057425E-3</v>
      </c>
      <c r="F58" s="13">
        <v>-2.1022604029492197E-2</v>
      </c>
      <c r="G58" s="15">
        <v>6.2422934648582173E-3</v>
      </c>
      <c r="H58" s="15">
        <v>2.9640607632456586E-3</v>
      </c>
      <c r="I58" s="16">
        <v>-2.5182731147609647E-2</v>
      </c>
    </row>
    <row r="59" spans="1:9" x14ac:dyDescent="0.35">
      <c r="A59" s="1">
        <v>43770</v>
      </c>
      <c r="B59" s="7">
        <v>-9.0544598281333422E-3</v>
      </c>
      <c r="C59" s="9">
        <v>-1.8118388476254809E-2</v>
      </c>
      <c r="D59" s="9">
        <v>-2.0057853992212927E-2</v>
      </c>
      <c r="E59" s="11">
        <v>-2.267863177261293E-2</v>
      </c>
      <c r="F59" s="13">
        <v>-7.6946776044846676E-2</v>
      </c>
      <c r="G59" s="15">
        <v>-3.0354088483827289E-2</v>
      </c>
      <c r="H59" s="15">
        <v>-4.5173887804105764E-2</v>
      </c>
      <c r="I59" s="16">
        <v>9.5986163805478735E-3</v>
      </c>
    </row>
    <row r="60" spans="1:9" x14ac:dyDescent="0.35">
      <c r="A60" s="1">
        <v>43800</v>
      </c>
      <c r="B60" s="7">
        <v>9.8376303096461386E-3</v>
      </c>
      <c r="C60" s="9">
        <v>1.7650429799426909E-2</v>
      </c>
      <c r="D60" s="9">
        <v>3.0659478110847536E-2</v>
      </c>
      <c r="E60" s="11">
        <v>1.730121531112732E-2</v>
      </c>
      <c r="F60" s="13">
        <v>3.1618581828452404E-2</v>
      </c>
      <c r="G60" s="15">
        <v>5.4604812806066057E-2</v>
      </c>
      <c r="H60" s="15">
        <v>3.7583595865804356E-2</v>
      </c>
      <c r="I60" s="16">
        <v>-3.4758478197182349E-2</v>
      </c>
    </row>
    <row r="61" spans="1:9" x14ac:dyDescent="0.35">
      <c r="A61" s="1">
        <v>43831</v>
      </c>
      <c r="B61" s="7">
        <v>5.4730490980228527E-3</v>
      </c>
      <c r="C61" s="9">
        <v>-4.1671359387318391E-2</v>
      </c>
      <c r="D61" s="9">
        <v>-3.307856095454266E-2</v>
      </c>
      <c r="E61" s="11">
        <v>-3.6317631360306177E-2</v>
      </c>
      <c r="F61" s="13">
        <v>-2.7294408329369482E-2</v>
      </c>
      <c r="G61" s="15">
        <v>-4.3014779308967493E-2</v>
      </c>
      <c r="H61" s="15">
        <v>-7.7664731262983996E-2</v>
      </c>
      <c r="I61" s="16">
        <v>4.7857138553010214E-2</v>
      </c>
    </row>
    <row r="62" spans="1:9" x14ac:dyDescent="0.35">
      <c r="A62" s="1">
        <v>43862</v>
      </c>
      <c r="B62" s="7">
        <v>-3.6249312606543294E-2</v>
      </c>
      <c r="C62" s="9">
        <v>-3.3376424961805123E-2</v>
      </c>
      <c r="D62" s="9">
        <v>-3.7354904048404358E-2</v>
      </c>
      <c r="E62" s="11">
        <v>-3.1625148589865745E-2</v>
      </c>
      <c r="F62" s="13">
        <v>-0.13134521073775746</v>
      </c>
      <c r="G62" s="15">
        <v>-7.4844129079383301E-2</v>
      </c>
      <c r="H62" s="15">
        <v>-9.4715564539416722E-2</v>
      </c>
      <c r="I62" s="16">
        <v>-5.7066272215288344E-2</v>
      </c>
    </row>
    <row r="63" spans="1:9" x14ac:dyDescent="0.35">
      <c r="A63" s="1">
        <v>43891</v>
      </c>
      <c r="B63" s="7">
        <v>-0.15172413814107877</v>
      </c>
      <c r="C63" s="9">
        <v>-9.4832826747720367E-2</v>
      </c>
      <c r="D63" s="9">
        <v>-9.1363752849300636E-2</v>
      </c>
      <c r="E63" s="11">
        <v>-8.8861760103598975E-2</v>
      </c>
      <c r="F63" s="13">
        <v>-0.21746137401599588</v>
      </c>
      <c r="G63" s="15">
        <v>-0.19673471689600716</v>
      </c>
      <c r="H63" s="15">
        <v>-0.14519936204146724</v>
      </c>
      <c r="I63" s="16">
        <v>-8.2043741421361199E-2</v>
      </c>
    </row>
    <row r="64" spans="1:9" x14ac:dyDescent="0.35">
      <c r="A64" s="1">
        <v>43922</v>
      </c>
      <c r="B64" s="7">
        <v>3.4237615044973663E-2</v>
      </c>
      <c r="C64" s="9">
        <v>4.5533915379449265E-2</v>
      </c>
      <c r="D64" s="9">
        <v>7.7689637291342525E-2</v>
      </c>
      <c r="E64" s="11">
        <v>4.2112977370474182E-2</v>
      </c>
      <c r="F64" s="13">
        <v>0.20672265529387548</v>
      </c>
      <c r="G64" s="15">
        <v>5.3708709235790802E-3</v>
      </c>
      <c r="H64" s="15">
        <v>8.1200089558922273E-2</v>
      </c>
      <c r="I64" s="16">
        <v>-0.16758179224594938</v>
      </c>
    </row>
    <row r="65" spans="1:9" x14ac:dyDescent="0.35">
      <c r="A65" s="1">
        <v>43952</v>
      </c>
      <c r="B65" s="7">
        <v>9.043240078777711E-3</v>
      </c>
      <c r="C65" s="9">
        <v>5.1130524152106976E-2</v>
      </c>
      <c r="D65" s="9">
        <v>0.10423006499457307</v>
      </c>
      <c r="E65" s="11">
        <v>4.6505846083905178E-2</v>
      </c>
      <c r="F65" s="13">
        <v>2.7163446176896103E-3</v>
      </c>
      <c r="G65" s="15">
        <v>4.1201117318435997E-3</v>
      </c>
      <c r="H65" s="15">
        <v>-7.3169048112100661E-3</v>
      </c>
      <c r="I65" s="16">
        <v>3.910010709977485E-2</v>
      </c>
    </row>
    <row r="66" spans="1:9" x14ac:dyDescent="0.35">
      <c r="A66" s="1">
        <v>43983</v>
      </c>
      <c r="B66" s="7">
        <v>-7.4953112633761657E-3</v>
      </c>
      <c r="C66" s="9">
        <v>1.0021999511121892E-2</v>
      </c>
      <c r="D66" s="9">
        <v>1.1700409639076482E-3</v>
      </c>
      <c r="E66" s="11">
        <v>1.8815543865603277E-2</v>
      </c>
      <c r="F66" s="13">
        <v>8.1559134805175862E-2</v>
      </c>
      <c r="G66" s="15">
        <v>5.8244662354823007E-2</v>
      </c>
      <c r="H66" s="15">
        <v>7.6489812947638852E-3</v>
      </c>
      <c r="I66" s="16">
        <v>7.8892718296968145E-3</v>
      </c>
    </row>
    <row r="67" spans="1:9" x14ac:dyDescent="0.35">
      <c r="A67" s="1">
        <v>44013</v>
      </c>
      <c r="B67" s="7">
        <v>-3.1748576088359369E-2</v>
      </c>
      <c r="C67" s="9">
        <v>7.0425943852855818E-2</v>
      </c>
      <c r="D67" s="9">
        <v>0.11630586189052675</v>
      </c>
      <c r="E67" s="11">
        <v>6.8475719035024002E-2</v>
      </c>
      <c r="F67" s="13">
        <v>0.14650504788264271</v>
      </c>
      <c r="G67" s="15">
        <v>6.9004041665297541E-2</v>
      </c>
      <c r="H67" s="15">
        <v>3.6022358705403344E-2</v>
      </c>
      <c r="I67" s="16">
        <v>3.192946329549444E-2</v>
      </c>
    </row>
    <row r="68" spans="1:9" x14ac:dyDescent="0.35">
      <c r="A68" s="1">
        <v>44044</v>
      </c>
      <c r="B68" s="7">
        <v>-4.6525325888031856E-2</v>
      </c>
      <c r="C68" s="9">
        <v>-4.1713768935111889E-2</v>
      </c>
      <c r="D68" s="9">
        <v>-2.0304281474129007E-2</v>
      </c>
      <c r="E68" s="11">
        <v>-4.8972720187061551E-2</v>
      </c>
      <c r="F68" s="13">
        <v>1.4016400262489057E-2</v>
      </c>
      <c r="G68" s="15">
        <v>2.6158054898103439E-2</v>
      </c>
      <c r="H68" s="15">
        <v>4.1963631519349592E-3</v>
      </c>
      <c r="I68" s="16">
        <v>4.9789060388850517E-2</v>
      </c>
    </row>
    <row r="69" spans="1:9" x14ac:dyDescent="0.35">
      <c r="A69" s="1">
        <v>44075</v>
      </c>
      <c r="B69" s="7">
        <v>-4.7786276257663504E-2</v>
      </c>
      <c r="C69" s="9">
        <v>-1.7223074200778603E-2</v>
      </c>
      <c r="D69" s="9">
        <v>-2.0180531874090916E-2</v>
      </c>
      <c r="E69" s="11">
        <v>-1.3368650874305898E-2</v>
      </c>
      <c r="F69" s="13">
        <v>-0.14305310254863382</v>
      </c>
      <c r="G69" s="15">
        <v>-0.11065180924994009</v>
      </c>
      <c r="H69" s="15">
        <v>-4.6099761209869916E-2</v>
      </c>
      <c r="I69" s="16">
        <v>1.7255592261539044E-2</v>
      </c>
    </row>
    <row r="70" spans="1:9" x14ac:dyDescent="0.35">
      <c r="A70" s="1">
        <v>44105</v>
      </c>
      <c r="B70" s="7">
        <v>-8.2597626308337668E-2</v>
      </c>
      <c r="C70" s="9">
        <v>-2.6887528507982206E-2</v>
      </c>
      <c r="D70" s="9">
        <v>-1.2344836887854699E-2</v>
      </c>
      <c r="E70" s="11">
        <v>-2.5205672439228503E-2</v>
      </c>
      <c r="F70" s="13">
        <v>0.11155779331614465</v>
      </c>
      <c r="G70" s="15">
        <v>6.9046817110138103E-2</v>
      </c>
      <c r="H70" s="15">
        <v>4.6311104930116101E-2</v>
      </c>
      <c r="I70" s="16">
        <v>-7.0334767642183091E-2</v>
      </c>
    </row>
    <row r="71" spans="1:9" x14ac:dyDescent="0.35">
      <c r="A71" s="1">
        <v>44136</v>
      </c>
      <c r="B71" s="7">
        <v>0.16362278706753777</v>
      </c>
      <c r="C71" s="9">
        <v>6.5252251140989231E-2</v>
      </c>
      <c r="D71" s="9">
        <v>3.1839600429456751E-2</v>
      </c>
      <c r="E71" s="11">
        <v>6.5321871442303059E-2</v>
      </c>
      <c r="F71" s="13">
        <v>7.8958436578631164E-2</v>
      </c>
      <c r="G71" s="15">
        <v>0.11052299936988041</v>
      </c>
      <c r="H71" s="15">
        <v>9.7295141888748687E-2</v>
      </c>
      <c r="I71" s="16">
        <v>5.3015187693577583E-2</v>
      </c>
    </row>
    <row r="72" spans="1:9" x14ac:dyDescent="0.35">
      <c r="A72" s="1">
        <v>44166</v>
      </c>
      <c r="B72" s="7">
        <v>9.0500390437013384E-2</v>
      </c>
      <c r="C72" s="9">
        <v>5.176007410838343E-2</v>
      </c>
      <c r="D72" s="9">
        <v>8.9599668983217438E-4</v>
      </c>
      <c r="E72" s="11">
        <v>4.1274452713555294E-2</v>
      </c>
      <c r="F72" s="13">
        <v>-2.9326339474717205E-3</v>
      </c>
      <c r="G72" s="15">
        <v>4.8172945982750681E-2</v>
      </c>
      <c r="H72" s="15">
        <v>7.49197504693839E-2</v>
      </c>
      <c r="I72" s="16">
        <v>9.4416670826098073E-2</v>
      </c>
    </row>
    <row r="73" spans="1:9" x14ac:dyDescent="0.35">
      <c r="A73" s="1">
        <v>44197</v>
      </c>
      <c r="B73" s="7">
        <v>-6.3363367785940761E-2</v>
      </c>
      <c r="C73" s="9">
        <v>-3.7432566332709458E-2</v>
      </c>
      <c r="D73" s="9">
        <v>-2.1907949981571688E-2</v>
      </c>
      <c r="E73" s="11">
        <v>-3.7370714290103885E-2</v>
      </c>
      <c r="F73" s="13">
        <v>-0.1180890296925815</v>
      </c>
      <c r="G73" s="15">
        <v>-2.6579331998051191E-2</v>
      </c>
      <c r="H73" s="15">
        <v>-2.9580797836375933E-2</v>
      </c>
      <c r="I73" s="16">
        <v>6.5329844719632449E-2</v>
      </c>
    </row>
    <row r="74" spans="1:9" x14ac:dyDescent="0.35">
      <c r="A74" s="1">
        <v>44228</v>
      </c>
      <c r="B74" s="7">
        <v>7.0247535669591035E-2</v>
      </c>
      <c r="C74" s="9">
        <v>1.1323344389797657E-2</v>
      </c>
      <c r="D74" s="9">
        <v>8.4135792013897322E-3</v>
      </c>
      <c r="E74" s="11">
        <v>7.2459141981613311E-3</v>
      </c>
      <c r="F74" s="13">
        <v>0.20473979163167982</v>
      </c>
      <c r="G74" s="15">
        <v>2.146591035479932E-2</v>
      </c>
      <c r="H74" s="15">
        <v>6.462288799860666E-2</v>
      </c>
      <c r="I74" s="16">
        <v>-1.9521619200128296E-2</v>
      </c>
    </row>
    <row r="75" spans="1:9" x14ac:dyDescent="0.35">
      <c r="A75" s="1">
        <v>44256</v>
      </c>
      <c r="B75" s="7">
        <v>9.2540556279708891E-2</v>
      </c>
      <c r="C75" s="9">
        <v>-2.2619316896629721E-3</v>
      </c>
      <c r="D75" s="9">
        <v>-1.0091569941020758E-2</v>
      </c>
      <c r="E75" s="11">
        <v>-2.6873712565362124E-3</v>
      </c>
      <c r="F75" s="13">
        <v>-9.3094324660688253E-5</v>
      </c>
      <c r="G75" s="15">
        <v>-4.7228876306620267E-2</v>
      </c>
      <c r="H75" s="15">
        <v>-3.5285776614310795E-2</v>
      </c>
      <c r="I75" s="16">
        <v>6.4725530588916946E-2</v>
      </c>
    </row>
    <row r="76" spans="1:9" x14ac:dyDescent="0.35">
      <c r="A76" s="1">
        <v>44287</v>
      </c>
      <c r="B76" s="7">
        <v>-4.2735401490224582E-2</v>
      </c>
      <c r="C76" s="9">
        <v>7.7080027204714961E-3</v>
      </c>
      <c r="D76" s="9">
        <v>3.3026493267134534E-2</v>
      </c>
      <c r="E76" s="11">
        <v>1.7883585105909781E-2</v>
      </c>
      <c r="F76" s="13">
        <v>-2.6872748930510167E-2</v>
      </c>
      <c r="G76" s="15">
        <v>-2.0513699608582632E-2</v>
      </c>
      <c r="H76" s="15">
        <v>1.3002430889254239E-3</v>
      </c>
      <c r="I76" s="16">
        <v>-4.1057722679159671E-2</v>
      </c>
    </row>
    <row r="77" spans="1:9" x14ac:dyDescent="0.35">
      <c r="A77" s="1">
        <v>44317</v>
      </c>
      <c r="B77" s="7">
        <v>-4.9062025679195126E-2</v>
      </c>
      <c r="C77" s="9">
        <v>-1.2485939257592827E-2</v>
      </c>
      <c r="D77" s="9">
        <v>-3.764098700320212E-2</v>
      </c>
      <c r="E77" s="11">
        <v>-1.1300846002559945E-2</v>
      </c>
      <c r="F77" s="13">
        <v>-5.9577234808242098E-2</v>
      </c>
      <c r="G77" s="15">
        <v>1.4001108421083867E-3</v>
      </c>
      <c r="H77" s="15">
        <v>-1.4735772357723654E-2</v>
      </c>
      <c r="I77" s="16">
        <v>1.6864423930834473E-3</v>
      </c>
    </row>
    <row r="78" spans="1:9" x14ac:dyDescent="0.35">
      <c r="A78" s="1">
        <v>44348</v>
      </c>
      <c r="B78" s="7">
        <v>-4.9395561131749628E-3</v>
      </c>
      <c r="C78" s="9">
        <v>-2.3465087139765375E-2</v>
      </c>
      <c r="D78" s="9">
        <v>-4.6553995917923106E-2</v>
      </c>
      <c r="E78" s="11">
        <v>-3.2155599760032738E-2</v>
      </c>
      <c r="F78" s="13">
        <v>1.0736575988202143E-2</v>
      </c>
      <c r="G78" s="15">
        <v>-7.2907867524977507E-2</v>
      </c>
      <c r="H78" s="15">
        <v>-1.4669646438599521E-2</v>
      </c>
      <c r="I78" s="16">
        <v>-8.0314213427560305E-3</v>
      </c>
    </row>
    <row r="79" spans="1:9" x14ac:dyDescent="0.35">
      <c r="A79" s="1">
        <v>44378</v>
      </c>
      <c r="B79" s="7">
        <v>-1.8840292977589407E-2</v>
      </c>
      <c r="C79" s="9">
        <v>-2.6128543100431563E-2</v>
      </c>
      <c r="D79" s="9">
        <v>-1.0609051524517479E-2</v>
      </c>
      <c r="E79" s="11">
        <v>-2.4813555783196335E-2</v>
      </c>
      <c r="F79" s="13">
        <v>-0.10356859291305361</v>
      </c>
      <c r="G79" s="15">
        <v>-2.8214151061957904E-2</v>
      </c>
      <c r="H79" s="15">
        <v>2.0296597848211743E-2</v>
      </c>
      <c r="I79" s="16">
        <v>6.3936303087392902E-3</v>
      </c>
    </row>
    <row r="80" spans="1:9" x14ac:dyDescent="0.35">
      <c r="A80" s="1">
        <v>44409</v>
      </c>
      <c r="B80" s="7">
        <v>4.8857129035422997E-2</v>
      </c>
      <c r="C80" s="9">
        <v>7.0906695412624329E-2</v>
      </c>
      <c r="D80" s="9">
        <v>5.8210253396939783E-2</v>
      </c>
      <c r="E80" s="11">
        <v>7.144386457915175E-2</v>
      </c>
      <c r="F80" s="13">
        <v>-3.6045923198183824E-2</v>
      </c>
      <c r="G80" s="15">
        <v>6.4015518913676073E-2</v>
      </c>
      <c r="H80" s="15">
        <v>1.7669858641131001E-3</v>
      </c>
      <c r="I80" s="16">
        <v>1.4125879481016927E-2</v>
      </c>
    </row>
    <row r="81" spans="1:9" x14ac:dyDescent="0.35">
      <c r="A81" s="1">
        <v>44440</v>
      </c>
      <c r="B81" s="7">
        <v>-3.9087115031499588E-3</v>
      </c>
      <c r="C81" s="9">
        <v>-2.7513700928307822E-2</v>
      </c>
      <c r="D81" s="9">
        <v>-3.0700853145690345E-2</v>
      </c>
      <c r="E81" s="11">
        <v>-3.9703255941750337E-2</v>
      </c>
      <c r="F81" s="13">
        <v>1.8293373023439904E-2</v>
      </c>
      <c r="G81" s="15">
        <v>4.0413248252810556E-2</v>
      </c>
      <c r="H81" s="15">
        <v>3.2944523470839218E-2</v>
      </c>
      <c r="I81" s="16">
        <v>1.322228146590097E-2</v>
      </c>
    </row>
    <row r="82" spans="1:9" x14ac:dyDescent="0.35">
      <c r="A82" s="1">
        <v>44470</v>
      </c>
      <c r="B82" s="7">
        <v>3.2098235679196063E-2</v>
      </c>
      <c r="C82" s="9">
        <v>2.3116733755031652E-2</v>
      </c>
      <c r="D82" s="9">
        <v>1.8818659423368047E-2</v>
      </c>
      <c r="E82" s="11">
        <v>1.5938353492001556E-2</v>
      </c>
      <c r="F82" s="13">
        <v>3.4452571016618021E-2</v>
      </c>
      <c r="G82" s="15">
        <v>9.1355140186915984E-2</v>
      </c>
      <c r="H82" s="15">
        <v>2.3410818552385151E-2</v>
      </c>
      <c r="I82" s="16">
        <v>2.2217464032464773E-2</v>
      </c>
    </row>
    <row r="83" spans="1:9" x14ac:dyDescent="0.35">
      <c r="A83" s="1">
        <v>44501</v>
      </c>
      <c r="B83" s="7">
        <v>-0.11227732898982516</v>
      </c>
      <c r="C83" s="9">
        <v>-3.6533273381294966E-2</v>
      </c>
      <c r="D83" s="9">
        <v>-3.6768192102824136E-2</v>
      </c>
      <c r="E83" s="11">
        <v>-3.0934961691341623E-2</v>
      </c>
      <c r="F83" s="13">
        <v>-4.267750166115411E-2</v>
      </c>
      <c r="G83" s="15">
        <v>-2.0204453007921248E-2</v>
      </c>
      <c r="H83" s="15">
        <v>3.9291673394693917E-3</v>
      </c>
      <c r="I83" s="16">
        <v>4.8418337218257737E-2</v>
      </c>
    </row>
    <row r="84" spans="1:9" x14ac:dyDescent="0.35">
      <c r="A84" s="1">
        <v>44531</v>
      </c>
      <c r="B84" s="7">
        <v>1.2837235774841978E-2</v>
      </c>
      <c r="C84" s="9">
        <v>2.7068020067669969E-2</v>
      </c>
      <c r="D84" s="9">
        <v>1.1087823676560034E-2</v>
      </c>
      <c r="E84" s="11">
        <v>3.5370348353346778E-2</v>
      </c>
      <c r="F84" s="13">
        <v>-4.1330239244022252E-2</v>
      </c>
      <c r="G84" s="15">
        <v>-1.9118892196760403E-3</v>
      </c>
      <c r="H84" s="15">
        <v>1.34033883765816E-2</v>
      </c>
      <c r="I84" s="16">
        <v>-8.7105213921845771E-3</v>
      </c>
    </row>
    <row r="85" spans="1:9" x14ac:dyDescent="0.35">
      <c r="A85" s="1">
        <v>44562</v>
      </c>
      <c r="B85" s="7">
        <v>-2.5394117095136677E-2</v>
      </c>
      <c r="C85" s="9">
        <v>-3.4533681699420629E-2</v>
      </c>
      <c r="D85" s="9">
        <v>-5.659254185320188E-2</v>
      </c>
      <c r="E85" s="11">
        <v>-3.5252913819831193E-2</v>
      </c>
      <c r="F85" s="13">
        <v>-4.0544680804802093E-2</v>
      </c>
      <c r="G85" s="15">
        <v>1.4777111895575014E-2</v>
      </c>
      <c r="H85" s="15">
        <v>5.290445455507053E-4</v>
      </c>
      <c r="I85" s="16">
        <v>7.277364389653972E-3</v>
      </c>
    </row>
    <row r="86" spans="1:9" x14ac:dyDescent="0.35">
      <c r="A86" s="1">
        <v>44593</v>
      </c>
      <c r="B86" s="7">
        <v>3.5341663057172575E-2</v>
      </c>
      <c r="C86" s="9">
        <v>5.800682433227447E-2</v>
      </c>
      <c r="D86" s="9">
        <v>4.7409910883301189E-2</v>
      </c>
      <c r="E86" s="11">
        <v>6.3487340223637306E-2</v>
      </c>
      <c r="F86" s="13">
        <v>5.7004401819261967E-2</v>
      </c>
      <c r="G86" s="15">
        <v>5.223417738586416E-2</v>
      </c>
      <c r="H86" s="15">
        <v>1.6920473773265592E-2</v>
      </c>
      <c r="I86" s="16">
        <v>7.5467722160580857E-3</v>
      </c>
    </row>
    <row r="87" spans="1:9" x14ac:dyDescent="0.35">
      <c r="A87" s="1">
        <v>44621</v>
      </c>
      <c r="B87" s="7">
        <v>1.888026942406433E-2</v>
      </c>
      <c r="C87" s="9">
        <v>1.223309608540824E-3</v>
      </c>
      <c r="D87" s="9">
        <v>-1.4379096833611285E-2</v>
      </c>
      <c r="E87" s="11">
        <v>-1.300768522894028E-2</v>
      </c>
      <c r="F87" s="13">
        <v>2.619035583052709E-2</v>
      </c>
      <c r="G87" s="15">
        <v>3.3136852895950815E-2</v>
      </c>
      <c r="H87" s="15">
        <v>3.9465474209650603E-2</v>
      </c>
      <c r="I87" s="16">
        <v>3.8759488916765533E-2</v>
      </c>
    </row>
    <row r="88" spans="1:9" x14ac:dyDescent="0.35">
      <c r="A88" s="1">
        <v>44652</v>
      </c>
      <c r="B88" s="7">
        <v>2.1382341650612927E-2</v>
      </c>
      <c r="C88" s="9">
        <v>1.166277907364212E-2</v>
      </c>
      <c r="D88" s="9">
        <v>6.6086985644731406E-3</v>
      </c>
      <c r="E88" s="11">
        <v>8.2337969962706405E-3</v>
      </c>
      <c r="F88" s="13">
        <v>5.0003924267695218E-2</v>
      </c>
      <c r="G88" s="15">
        <v>6.6579019174956053E-2</v>
      </c>
      <c r="H88" s="15">
        <v>4.1368615877144764E-2</v>
      </c>
      <c r="I88" s="16">
        <v>2.6606627465240864E-2</v>
      </c>
    </row>
    <row r="89" spans="1:9" x14ac:dyDescent="0.35">
      <c r="A89" s="1">
        <v>44682</v>
      </c>
      <c r="B89" s="7">
        <v>-6.9039868422601444E-3</v>
      </c>
      <c r="C89" s="9">
        <v>-1.9433465085638923E-2</v>
      </c>
      <c r="D89" s="9">
        <v>-4.2641661980922209E-2</v>
      </c>
      <c r="E89" s="11">
        <v>-1.8951156876589513E-2</v>
      </c>
      <c r="F89" s="13">
        <v>9.2237335961169675E-2</v>
      </c>
      <c r="G89" s="15">
        <v>-2.1559643696071908E-2</v>
      </c>
      <c r="H89" s="15">
        <v>4.2751465078296972E-3</v>
      </c>
      <c r="I89" s="16">
        <v>2.2268749476870339E-2</v>
      </c>
    </row>
    <row r="90" spans="1:9" x14ac:dyDescent="0.35">
      <c r="A90" s="1">
        <v>44713</v>
      </c>
      <c r="B90" s="7">
        <v>-3.965395335753169E-2</v>
      </c>
      <c r="C90" s="9">
        <v>-7.1212630164595253E-2</v>
      </c>
      <c r="D90" s="9">
        <v>-8.7375528144692738E-2</v>
      </c>
      <c r="E90" s="11">
        <v>-8.017323737341564E-2</v>
      </c>
      <c r="F90" s="13">
        <v>-7.6667086111108659E-2</v>
      </c>
      <c r="G90" s="15">
        <v>-7.9890658426432171E-2</v>
      </c>
      <c r="H90" s="15">
        <v>-4.1517195197780681E-2</v>
      </c>
      <c r="I90" s="16">
        <v>-1.1058901420502318E-2</v>
      </c>
    </row>
    <row r="91" spans="1:9" x14ac:dyDescent="0.35">
      <c r="A91" s="1">
        <v>44743</v>
      </c>
      <c r="B91" s="7">
        <v>3.3717918339208645E-3</v>
      </c>
      <c r="C91" s="9">
        <v>3.3755274261603373E-2</v>
      </c>
      <c r="D91" s="9">
        <v>2.1972644628650034E-2</v>
      </c>
      <c r="E91" s="11">
        <v>3.3242857736355949E-2</v>
      </c>
      <c r="F91" s="13">
        <v>-1.1630300999694522E-3</v>
      </c>
      <c r="G91" s="15">
        <v>-3.8595675424319922E-2</v>
      </c>
      <c r="H91" s="15">
        <v>-3.1438694545635928E-2</v>
      </c>
      <c r="I91" s="16">
        <v>-3.3205927128065443E-2</v>
      </c>
    </row>
    <row r="92" spans="1:9" x14ac:dyDescent="0.35">
      <c r="A92" s="1">
        <v>44774</v>
      </c>
      <c r="B92" s="7">
        <v>2.7316148395864503E-2</v>
      </c>
      <c r="C92" s="9">
        <v>1.5860058309037927E-2</v>
      </c>
      <c r="D92" s="9">
        <v>7.3303852807278299E-3</v>
      </c>
      <c r="E92" s="11">
        <v>1.3282134791553537E-2</v>
      </c>
      <c r="F92" s="13">
        <v>-6.7084704469875411E-2</v>
      </c>
      <c r="G92" s="15">
        <v>0.1208383716243451</v>
      </c>
      <c r="H92" s="15">
        <v>7.9653768870111843E-2</v>
      </c>
      <c r="I92" s="16">
        <v>-3.9413574891852418E-2</v>
      </c>
    </row>
    <row r="93" spans="1:9" x14ac:dyDescent="0.35">
      <c r="A93" s="1">
        <v>44805</v>
      </c>
      <c r="B93" s="7">
        <v>-0.10432031302102709</v>
      </c>
      <c r="C93" s="9">
        <v>-7.3699919641832215E-2</v>
      </c>
      <c r="D93" s="9">
        <v>-7.4484022690239626E-2</v>
      </c>
      <c r="E93" s="11">
        <v>-7.7656162163949508E-2</v>
      </c>
      <c r="F93" s="13">
        <v>9.3549026479798458E-2</v>
      </c>
      <c r="G93" s="15">
        <v>1.632623705408516E-2</v>
      </c>
      <c r="H93" s="15">
        <v>-2.5864948699594444E-2</v>
      </c>
      <c r="I93" s="16">
        <v>6.0493708034934729E-2</v>
      </c>
    </row>
    <row r="94" spans="1:9" x14ac:dyDescent="0.35">
      <c r="A94" s="1">
        <v>44835</v>
      </c>
      <c r="B94" s="7">
        <v>1.3859427527613303E-2</v>
      </c>
      <c r="C94" s="9">
        <v>4.0277605651257903E-2</v>
      </c>
      <c r="D94" s="9">
        <v>4.0275658646107167E-2</v>
      </c>
      <c r="E94" s="11">
        <v>4.7145120928131473E-2</v>
      </c>
      <c r="F94" s="13">
        <v>6.6318190746025879E-2</v>
      </c>
      <c r="G94" s="15">
        <v>3.6208808057934014E-2</v>
      </c>
      <c r="H94" s="15">
        <v>1.5774261500024488E-2</v>
      </c>
      <c r="I94" s="16">
        <v>8.2504828996705117E-3</v>
      </c>
    </row>
    <row r="95" spans="1:9" x14ac:dyDescent="0.35">
      <c r="A95" s="1">
        <v>44866</v>
      </c>
      <c r="B95" s="7">
        <v>1.7819942666573434E-2</v>
      </c>
      <c r="C95" s="9">
        <v>2.8115320467000268E-2</v>
      </c>
      <c r="D95" s="9">
        <v>3.5729139352095936E-2</v>
      </c>
      <c r="E95" s="11">
        <v>1.9460688314000357E-2</v>
      </c>
      <c r="F95" s="13">
        <v>-7.6207320889107824E-2</v>
      </c>
      <c r="G95" s="15">
        <v>2.2764523766271512E-5</v>
      </c>
      <c r="H95" s="15">
        <v>1.6976127320954958E-2</v>
      </c>
      <c r="I95" s="16">
        <v>-2.4764435003218708E-3</v>
      </c>
    </row>
    <row r="96" spans="1:9" x14ac:dyDescent="0.35">
      <c r="A96" s="1">
        <v>44896</v>
      </c>
      <c r="B96" s="7">
        <v>-7.0698086106782496E-3</v>
      </c>
      <c r="C96" s="9">
        <v>4.6349942062572421E-3</v>
      </c>
      <c r="D96" s="9">
        <v>1.4417017756505708E-2</v>
      </c>
      <c r="E96" s="11">
        <v>4.4935518538420571E-3</v>
      </c>
      <c r="F96" s="13">
        <v>-8.0500780150831716E-2</v>
      </c>
      <c r="G96" s="15">
        <v>-9.9023424161716004E-3</v>
      </c>
      <c r="H96" s="15">
        <v>3.1915398112581164E-2</v>
      </c>
      <c r="I96" s="16">
        <v>-1.694601705063051E-5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34C7-EC9A-485A-A614-AF85D34F949C}">
  <dimension ref="A1:N98"/>
  <sheetViews>
    <sheetView workbookViewId="0">
      <selection activeCell="A3" sqref="A3:A97"/>
    </sheetView>
  </sheetViews>
  <sheetFormatPr defaultRowHeight="14.5" x14ac:dyDescent="0.35"/>
  <cols>
    <col min="1" max="1" width="11.90625" customWidth="1"/>
    <col min="2" max="2" width="7.453125" customWidth="1"/>
    <col min="3" max="3" width="6.36328125" customWidth="1"/>
    <col min="4" max="4" width="10.36328125" bestFit="1" customWidth="1"/>
    <col min="5" max="5" width="8.6328125" customWidth="1"/>
    <col min="6" max="6" width="8.453125" customWidth="1"/>
    <col min="7" max="7" width="9.54296875" customWidth="1"/>
    <col min="8" max="9" width="9" bestFit="1" customWidth="1"/>
    <col min="10" max="10" width="11.26953125" customWidth="1"/>
    <col min="11" max="12" width="9" bestFit="1" customWidth="1"/>
    <col min="13" max="13" width="9.6328125" customWidth="1"/>
  </cols>
  <sheetData>
    <row r="1" spans="1:14" x14ac:dyDescent="0.35">
      <c r="A1" t="s">
        <v>0</v>
      </c>
      <c r="B1" s="2" t="s">
        <v>4</v>
      </c>
      <c r="C1" s="2" t="s">
        <v>5</v>
      </c>
      <c r="D1" s="2" t="s">
        <v>6</v>
      </c>
      <c r="E1" s="2" t="s">
        <v>1</v>
      </c>
      <c r="F1" s="2" t="s">
        <v>2</v>
      </c>
      <c r="G1" s="2" t="s">
        <v>3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</row>
    <row r="2" spans="1:14" x14ac:dyDescent="0.35">
      <c r="A2" s="1">
        <v>42005</v>
      </c>
      <c r="B2" s="3">
        <v>3.305088</v>
      </c>
      <c r="C2" s="3">
        <v>12.08</v>
      </c>
      <c r="D2" s="3">
        <v>2.7623760000000002</v>
      </c>
      <c r="E2" s="3">
        <v>3.02</v>
      </c>
      <c r="F2" s="3">
        <v>3.51</v>
      </c>
      <c r="G2" s="3">
        <v>11.78</v>
      </c>
      <c r="H2" s="2"/>
    </row>
    <row r="3" spans="1:14" x14ac:dyDescent="0.35">
      <c r="A3" s="1">
        <v>42036</v>
      </c>
      <c r="B3" s="3">
        <v>3.2758389999999999</v>
      </c>
      <c r="C3" s="3">
        <v>13.9</v>
      </c>
      <c r="D3" s="3">
        <v>2.7128709999999998</v>
      </c>
      <c r="E3" s="3">
        <v>3.02</v>
      </c>
      <c r="F3" s="3">
        <v>3.55</v>
      </c>
      <c r="G3" s="3">
        <v>12.94</v>
      </c>
      <c r="H3" s="3">
        <f>(B3-B2)/B2</f>
        <v>-8.8496887223577948E-3</v>
      </c>
      <c r="I3" s="3">
        <f t="shared" ref="I3:M3" si="0">(C3-C2)/C2</f>
        <v>0.15066225165562916</v>
      </c>
      <c r="J3" s="3">
        <f t="shared" si="0"/>
        <v>-1.7921166416157812E-2</v>
      </c>
      <c r="K3" s="3">
        <f t="shared" si="0"/>
        <v>0</v>
      </c>
      <c r="L3" s="3">
        <f t="shared" si="0"/>
        <v>1.1396011396011407E-2</v>
      </c>
      <c r="M3" s="3">
        <f t="shared" si="0"/>
        <v>9.8471986417657059E-2</v>
      </c>
      <c r="N3" s="3">
        <f>(16.67%*H3)+(16.67%*I3)+(16.67%*J3)+(16.67%*K3)+(16.67%*L3)+(16.67%*M3)</f>
        <v>3.8967691034941368E-2</v>
      </c>
    </row>
    <row r="4" spans="1:14" x14ac:dyDescent="0.35">
      <c r="A4" s="1">
        <v>42064</v>
      </c>
      <c r="B4" s="3">
        <v>3.2758389999999999</v>
      </c>
      <c r="C4" s="3">
        <v>14.2</v>
      </c>
      <c r="D4" s="3">
        <v>2.6633659999999999</v>
      </c>
      <c r="E4" s="3">
        <v>3.02</v>
      </c>
      <c r="F4" s="3">
        <v>3.65</v>
      </c>
      <c r="G4" s="3">
        <v>13.48</v>
      </c>
      <c r="H4" s="3">
        <f t="shared" ref="H4:H67" si="1">(B4-B3)/B3</f>
        <v>0</v>
      </c>
      <c r="I4" s="3">
        <f t="shared" ref="I4:I67" si="2">(C4-C3)/C3</f>
        <v>2.1582733812949562E-2</v>
      </c>
      <c r="J4" s="3">
        <f t="shared" ref="J4:J67" si="3">(D4-D3)/D3</f>
        <v>-1.8248195362035244E-2</v>
      </c>
      <c r="K4" s="3">
        <f t="shared" ref="K4:K67" si="4">(E4-E3)/E3</f>
        <v>0</v>
      </c>
      <c r="L4" s="3">
        <f t="shared" ref="L4:L67" si="5">(F4-F3)/F3</f>
        <v>2.8169014084507067E-2</v>
      </c>
      <c r="M4" s="3">
        <f t="shared" ref="M4:M67" si="6">(G4-G3)/G3</f>
        <v>4.1731066460587399E-2</v>
      </c>
      <c r="N4" s="3">
        <f t="shared" ref="N4:N67" si="7">(16.67%*H4)+(16.67%*I4)+(16.67%*J4)+(16.67%*K4)+(16.67%*L4)+(16.67%*M4)</f>
        <v>1.2208210986634667E-2</v>
      </c>
    </row>
    <row r="5" spans="1:14" x14ac:dyDescent="0.35">
      <c r="A5" s="1">
        <v>42095</v>
      </c>
      <c r="B5" s="3">
        <v>3.1783440000000001</v>
      </c>
      <c r="C5" s="3">
        <v>14.6</v>
      </c>
      <c r="D5" s="3">
        <v>2.7029700000000001</v>
      </c>
      <c r="E5" s="3">
        <v>2.4500000000000002</v>
      </c>
      <c r="F5" s="3">
        <v>3.72</v>
      </c>
      <c r="G5" s="3">
        <v>14.4</v>
      </c>
      <c r="H5" s="3">
        <f t="shared" si="1"/>
        <v>-2.9761841164965643E-2</v>
      </c>
      <c r="I5" s="3">
        <f t="shared" si="2"/>
        <v>2.8169014084507067E-2</v>
      </c>
      <c r="J5" s="3">
        <f t="shared" si="3"/>
        <v>1.4869905225192555E-2</v>
      </c>
      <c r="K5" s="3">
        <f t="shared" si="4"/>
        <v>-0.18874172185430457</v>
      </c>
      <c r="L5" s="3">
        <f t="shared" si="5"/>
        <v>1.9178082191780899E-2</v>
      </c>
      <c r="M5" s="3">
        <f t="shared" si="6"/>
        <v>6.8249258160237386E-2</v>
      </c>
      <c r="N5" s="3">
        <f t="shared" si="7"/>
        <v>-1.4675818469703972E-2</v>
      </c>
    </row>
    <row r="6" spans="1:14" x14ac:dyDescent="0.35">
      <c r="A6" s="1">
        <v>42125</v>
      </c>
      <c r="B6" s="3">
        <v>3.2173419999999999</v>
      </c>
      <c r="C6" s="3">
        <v>14.62</v>
      </c>
      <c r="D6" s="3">
        <v>2.6732670000000001</v>
      </c>
      <c r="E6" s="3">
        <v>2.35</v>
      </c>
      <c r="F6" s="3">
        <v>3.67</v>
      </c>
      <c r="G6" s="3">
        <v>12.96</v>
      </c>
      <c r="H6" s="3">
        <f t="shared" si="1"/>
        <v>1.2269911626935243E-2</v>
      </c>
      <c r="I6" s="3">
        <f t="shared" si="2"/>
        <v>1.3698630136986009E-3</v>
      </c>
      <c r="J6" s="3">
        <f t="shared" si="3"/>
        <v>-1.0989023185606956E-2</v>
      </c>
      <c r="K6" s="3">
        <f t="shared" si="4"/>
        <v>-4.0816326530612276E-2</v>
      </c>
      <c r="L6" s="3">
        <f t="shared" si="5"/>
        <v>-1.3440860215053835E-2</v>
      </c>
      <c r="M6" s="3">
        <f t="shared" si="6"/>
        <v>-9.9999999999999964E-2</v>
      </c>
      <c r="N6" s="3">
        <f t="shared" si="7"/>
        <v>-2.5272792762949553E-2</v>
      </c>
    </row>
    <row r="7" spans="1:14" x14ac:dyDescent="0.35">
      <c r="A7" s="1">
        <v>42156</v>
      </c>
      <c r="B7" s="3">
        <v>3.1978430000000002</v>
      </c>
      <c r="C7" s="3">
        <v>14.28</v>
      </c>
      <c r="D7" s="3">
        <v>2.6237620000000001</v>
      </c>
      <c r="E7" s="3">
        <v>2.35</v>
      </c>
      <c r="F7" s="3">
        <v>3.63</v>
      </c>
      <c r="G7" s="3">
        <v>11.9</v>
      </c>
      <c r="H7" s="3">
        <f t="shared" si="1"/>
        <v>-6.0605928744907169E-3</v>
      </c>
      <c r="I7" s="3">
        <f t="shared" si="2"/>
        <v>-2.3255813953488365E-2</v>
      </c>
      <c r="J7" s="3">
        <f t="shared" si="3"/>
        <v>-1.8518539300414028E-2</v>
      </c>
      <c r="K7" s="3">
        <f t="shared" si="4"/>
        <v>0</v>
      </c>
      <c r="L7" s="3">
        <f t="shared" si="5"/>
        <v>-1.0899182561307912E-2</v>
      </c>
      <c r="M7" s="3">
        <f t="shared" si="6"/>
        <v>-8.1790123456790154E-2</v>
      </c>
      <c r="N7" s="3">
        <f t="shared" si="7"/>
        <v>-2.342539283282008E-2</v>
      </c>
    </row>
    <row r="8" spans="1:14" x14ac:dyDescent="0.35">
      <c r="A8" s="1">
        <v>42186</v>
      </c>
      <c r="B8" s="3">
        <v>3.246591</v>
      </c>
      <c r="C8" s="3">
        <v>14.2</v>
      </c>
      <c r="D8" s="3">
        <v>2.6732670000000001</v>
      </c>
      <c r="E8" s="3">
        <v>1.98</v>
      </c>
      <c r="F8" s="3">
        <v>3.69</v>
      </c>
      <c r="G8" s="3">
        <v>12.5</v>
      </c>
      <c r="H8" s="3">
        <f t="shared" si="1"/>
        <v>1.5244025425888572E-2</v>
      </c>
      <c r="I8" s="3">
        <f t="shared" si="2"/>
        <v>-5.6022408963585487E-3</v>
      </c>
      <c r="J8" s="3">
        <f t="shared" si="3"/>
        <v>1.8867946101818651E-2</v>
      </c>
      <c r="K8" s="3">
        <f t="shared" si="4"/>
        <v>-0.15744680851063833</v>
      </c>
      <c r="L8" s="3">
        <f t="shared" si="5"/>
        <v>1.6528925619834725E-2</v>
      </c>
      <c r="M8" s="3">
        <f t="shared" si="6"/>
        <v>5.0420168067226857E-2</v>
      </c>
      <c r="N8" s="3">
        <f t="shared" si="7"/>
        <v>-1.0333396964844425E-2</v>
      </c>
    </row>
    <row r="9" spans="1:14" x14ac:dyDescent="0.35">
      <c r="A9" s="1">
        <v>42217</v>
      </c>
      <c r="B9" s="3">
        <v>2.876109</v>
      </c>
      <c r="C9" s="3">
        <v>12.92</v>
      </c>
      <c r="D9" s="3">
        <v>2.5742569999999998</v>
      </c>
      <c r="E9" s="3">
        <v>1.6</v>
      </c>
      <c r="F9" s="3">
        <v>3.42</v>
      </c>
      <c r="G9" s="3">
        <v>11.9</v>
      </c>
      <c r="H9" s="3">
        <f t="shared" si="1"/>
        <v>-0.11411415851272919</v>
      </c>
      <c r="I9" s="3">
        <f t="shared" si="2"/>
        <v>-9.0140845070422498E-2</v>
      </c>
      <c r="J9" s="3">
        <f t="shared" si="3"/>
        <v>-3.7037078600828222E-2</v>
      </c>
      <c r="K9" s="3">
        <f t="shared" si="4"/>
        <v>-0.19191919191919188</v>
      </c>
      <c r="L9" s="3">
        <f t="shared" si="5"/>
        <v>-7.3170731707317083E-2</v>
      </c>
      <c r="M9" s="3">
        <f t="shared" si="6"/>
        <v>-4.7999999999999973E-2</v>
      </c>
      <c r="N9" s="3">
        <f t="shared" si="7"/>
        <v>-9.2415480368608499E-2</v>
      </c>
    </row>
    <row r="10" spans="1:14" x14ac:dyDescent="0.35">
      <c r="A10" s="1">
        <v>42248</v>
      </c>
      <c r="B10" s="3">
        <v>3.002853</v>
      </c>
      <c r="C10" s="3">
        <v>13.76</v>
      </c>
      <c r="D10" s="3">
        <v>2.534653</v>
      </c>
      <c r="E10" s="3">
        <v>1.6</v>
      </c>
      <c r="F10" s="3">
        <v>3.59</v>
      </c>
      <c r="G10" s="3">
        <v>11.84</v>
      </c>
      <c r="H10" s="3">
        <f t="shared" si="1"/>
        <v>4.4067870863030559E-2</v>
      </c>
      <c r="I10" s="3">
        <f t="shared" si="2"/>
        <v>6.5015479876160978E-2</v>
      </c>
      <c r="J10" s="3">
        <f t="shared" si="3"/>
        <v>-1.5384633313612337E-2</v>
      </c>
      <c r="K10" s="3">
        <f t="shared" si="4"/>
        <v>0</v>
      </c>
      <c r="L10" s="3">
        <f t="shared" si="5"/>
        <v>4.970760233918127E-2</v>
      </c>
      <c r="M10" s="3">
        <f t="shared" si="6"/>
        <v>-5.042016806722731E-3</v>
      </c>
      <c r="N10" s="3">
        <f t="shared" si="7"/>
        <v>2.3065329303104894E-2</v>
      </c>
    </row>
    <row r="11" spans="1:14" x14ac:dyDescent="0.35">
      <c r="A11" s="1">
        <v>42278</v>
      </c>
      <c r="B11" s="3">
        <v>3.1421320000000001</v>
      </c>
      <c r="C11" s="3">
        <v>14.3</v>
      </c>
      <c r="D11" s="3">
        <v>2.6633659999999999</v>
      </c>
      <c r="E11" s="3">
        <v>1.59</v>
      </c>
      <c r="F11" s="3">
        <v>3.72</v>
      </c>
      <c r="G11" s="3">
        <v>12.14</v>
      </c>
      <c r="H11" s="3">
        <f t="shared" si="1"/>
        <v>4.6382223838463008E-2</v>
      </c>
      <c r="I11" s="3">
        <f t="shared" si="2"/>
        <v>3.9244186046511698E-2</v>
      </c>
      <c r="J11" s="3">
        <f t="shared" si="3"/>
        <v>5.0781310104381097E-2</v>
      </c>
      <c r="K11" s="3">
        <f t="shared" si="4"/>
        <v>-6.2500000000000056E-3</v>
      </c>
      <c r="L11" s="3">
        <f t="shared" si="5"/>
        <v>3.6211699164345502E-2</v>
      </c>
      <c r="M11" s="3">
        <f t="shared" si="6"/>
        <v>2.5337837837837898E-2</v>
      </c>
      <c r="N11" s="3">
        <f t="shared" si="7"/>
        <v>3.195759974048959E-2</v>
      </c>
    </row>
    <row r="12" spans="1:14" x14ac:dyDescent="0.35">
      <c r="A12" s="1">
        <v>42309</v>
      </c>
      <c r="B12" s="3">
        <v>3.0341209999999998</v>
      </c>
      <c r="C12" s="3">
        <v>14.5</v>
      </c>
      <c r="D12" s="3">
        <v>2.534653</v>
      </c>
      <c r="E12" s="3">
        <v>1.59</v>
      </c>
      <c r="F12" s="3">
        <v>3.8</v>
      </c>
      <c r="G12" s="3">
        <v>11.76</v>
      </c>
      <c r="H12" s="3">
        <f t="shared" si="1"/>
        <v>-3.437506762924037E-2</v>
      </c>
      <c r="I12" s="3">
        <f t="shared" si="2"/>
        <v>1.3986013986013936E-2</v>
      </c>
      <c r="J12" s="3">
        <f t="shared" si="3"/>
        <v>-4.8327191981875517E-2</v>
      </c>
      <c r="K12" s="3">
        <f t="shared" si="4"/>
        <v>0</v>
      </c>
      <c r="L12" s="3">
        <f t="shared" si="5"/>
        <v>2.1505376344085919E-2</v>
      </c>
      <c r="M12" s="3">
        <f t="shared" si="6"/>
        <v>-3.1301482701812253E-2</v>
      </c>
      <c r="N12" s="3">
        <f t="shared" si="7"/>
        <v>-1.3088009075537477E-2</v>
      </c>
    </row>
    <row r="13" spans="1:14" x14ac:dyDescent="0.35">
      <c r="A13" s="1">
        <v>42339</v>
      </c>
      <c r="B13" s="3">
        <v>2.9948440000000001</v>
      </c>
      <c r="C13" s="3">
        <v>13.24</v>
      </c>
      <c r="D13" s="3">
        <v>2.4851480000000001</v>
      </c>
      <c r="E13" s="3">
        <v>1.59</v>
      </c>
      <c r="F13" s="3">
        <v>3.78</v>
      </c>
      <c r="G13" s="3">
        <v>11.78</v>
      </c>
      <c r="H13" s="3">
        <f t="shared" si="1"/>
        <v>-1.2945100080056065E-2</v>
      </c>
      <c r="I13" s="3">
        <f t="shared" si="2"/>
        <v>-8.6896551724137919E-2</v>
      </c>
      <c r="J13" s="3">
        <f t="shared" si="3"/>
        <v>-1.9531273117069637E-2</v>
      </c>
      <c r="K13" s="3">
        <f t="shared" si="4"/>
        <v>0</v>
      </c>
      <c r="L13" s="3">
        <f t="shared" si="5"/>
        <v>-5.2631578947368472E-3</v>
      </c>
      <c r="M13" s="3">
        <f t="shared" si="6"/>
        <v>1.7006802721088073E-3</v>
      </c>
      <c r="N13" s="3">
        <f t="shared" si="7"/>
        <v>-2.0493331604066741E-2</v>
      </c>
    </row>
    <row r="14" spans="1:14" x14ac:dyDescent="0.35">
      <c r="A14" s="1">
        <v>42370</v>
      </c>
      <c r="B14" s="3">
        <v>3.0733980000000001</v>
      </c>
      <c r="C14" s="3">
        <v>13.32</v>
      </c>
      <c r="D14" s="3">
        <v>2.4455439999999999</v>
      </c>
      <c r="E14" s="3">
        <v>1.59</v>
      </c>
      <c r="F14" s="3">
        <v>3.86</v>
      </c>
      <c r="G14" s="3">
        <v>11.68</v>
      </c>
      <c r="H14" s="3">
        <f t="shared" si="1"/>
        <v>2.6229746858267077E-2</v>
      </c>
      <c r="I14" s="3">
        <f t="shared" si="2"/>
        <v>6.0422960725075581E-3</v>
      </c>
      <c r="J14" s="3">
        <f t="shared" si="3"/>
        <v>-1.5936274217873622E-2</v>
      </c>
      <c r="K14" s="3">
        <f t="shared" si="4"/>
        <v>0</v>
      </c>
      <c r="L14" s="3">
        <f t="shared" si="5"/>
        <v>2.1164021164021184E-2</v>
      </c>
      <c r="M14" s="3">
        <f t="shared" si="6"/>
        <v>-8.4889643463497162E-3</v>
      </c>
      <c r="N14" s="3">
        <f t="shared" si="7"/>
        <v>4.8361046159464327E-3</v>
      </c>
    </row>
    <row r="15" spans="1:14" x14ac:dyDescent="0.35">
      <c r="A15" s="1">
        <v>42401</v>
      </c>
      <c r="B15" s="3">
        <v>3.1421320000000001</v>
      </c>
      <c r="C15" s="3">
        <v>13.88</v>
      </c>
      <c r="D15" s="3">
        <v>2.4950489999999999</v>
      </c>
      <c r="E15" s="3">
        <v>1.59</v>
      </c>
      <c r="F15" s="3">
        <v>3.57</v>
      </c>
      <c r="G15" s="3">
        <v>12.06</v>
      </c>
      <c r="H15" s="3">
        <f t="shared" si="1"/>
        <v>2.2364171513094E-2</v>
      </c>
      <c r="I15" s="3">
        <f t="shared" si="2"/>
        <v>4.204204204204208E-2</v>
      </c>
      <c r="J15" s="3">
        <f t="shared" si="3"/>
        <v>2.0242939812164455E-2</v>
      </c>
      <c r="K15" s="3">
        <f t="shared" si="4"/>
        <v>0</v>
      </c>
      <c r="L15" s="3">
        <f t="shared" si="5"/>
        <v>-7.5129533678756494E-2</v>
      </c>
      <c r="M15" s="3">
        <f t="shared" si="6"/>
        <v>3.2534246575342533E-2</v>
      </c>
      <c r="N15" s="3">
        <f t="shared" si="7"/>
        <v>7.0103795061898927E-3</v>
      </c>
    </row>
    <row r="16" spans="1:14" x14ac:dyDescent="0.35">
      <c r="A16" s="1">
        <v>42430</v>
      </c>
      <c r="B16" s="3">
        <v>3.1028549999999999</v>
      </c>
      <c r="C16" s="3">
        <v>14.02</v>
      </c>
      <c r="D16" s="3">
        <v>2.4455439999999999</v>
      </c>
      <c r="E16" s="3">
        <v>1.59</v>
      </c>
      <c r="F16" s="3">
        <v>3.92</v>
      </c>
      <c r="G16" s="3">
        <v>13.54</v>
      </c>
      <c r="H16" s="3">
        <f t="shared" si="1"/>
        <v>-1.2500111389336994E-2</v>
      </c>
      <c r="I16" s="3">
        <f t="shared" si="2"/>
        <v>1.0086455331412017E-2</v>
      </c>
      <c r="J16" s="3">
        <f t="shared" si="3"/>
        <v>-1.9841293698039563E-2</v>
      </c>
      <c r="K16" s="3">
        <f t="shared" si="4"/>
        <v>0</v>
      </c>
      <c r="L16" s="3">
        <f t="shared" si="5"/>
        <v>9.8039215686274536E-2</v>
      </c>
      <c r="M16" s="3">
        <f t="shared" si="6"/>
        <v>0.12271973466003305</v>
      </c>
      <c r="N16" s="3">
        <f t="shared" si="7"/>
        <v>3.309061689841019E-2</v>
      </c>
    </row>
    <row r="17" spans="1:14" x14ac:dyDescent="0.35">
      <c r="A17" s="1">
        <v>42461</v>
      </c>
      <c r="B17" s="3">
        <v>2.9850249999999998</v>
      </c>
      <c r="C17" s="3">
        <v>15.04</v>
      </c>
      <c r="D17" s="3">
        <v>2.4059400000000002</v>
      </c>
      <c r="E17" s="3">
        <v>2.39</v>
      </c>
      <c r="F17" s="3">
        <v>3.86</v>
      </c>
      <c r="G17" s="3">
        <v>13.68</v>
      </c>
      <c r="H17" s="3">
        <f t="shared" si="1"/>
        <v>-3.7974703942014729E-2</v>
      </c>
      <c r="I17" s="3">
        <f t="shared" si="2"/>
        <v>7.2753209700427937E-2</v>
      </c>
      <c r="J17" s="3">
        <f t="shared" si="3"/>
        <v>-1.6194351849731493E-2</v>
      </c>
      <c r="K17" s="3">
        <f t="shared" si="4"/>
        <v>0.50314465408805031</v>
      </c>
      <c r="L17" s="3">
        <f t="shared" si="5"/>
        <v>-1.5306122448979605E-2</v>
      </c>
      <c r="M17" s="3">
        <f t="shared" si="6"/>
        <v>1.0339734121122643E-2</v>
      </c>
      <c r="N17" s="3">
        <f t="shared" si="7"/>
        <v>8.6144295358801498E-2</v>
      </c>
    </row>
    <row r="18" spans="1:14" x14ac:dyDescent="0.35">
      <c r="A18" s="1">
        <v>42491</v>
      </c>
      <c r="B18" s="3">
        <v>2.9948440000000001</v>
      </c>
      <c r="C18" s="3">
        <v>14.86</v>
      </c>
      <c r="D18" s="3">
        <v>2.2079200000000001</v>
      </c>
      <c r="E18" s="3">
        <v>1.99</v>
      </c>
      <c r="F18" s="3">
        <v>3.81</v>
      </c>
      <c r="G18" s="3">
        <v>12.98</v>
      </c>
      <c r="H18" s="3">
        <f t="shared" si="1"/>
        <v>3.2894196866023718E-3</v>
      </c>
      <c r="I18" s="3">
        <f t="shared" si="2"/>
        <v>-1.1968085106382961E-2</v>
      </c>
      <c r="J18" s="3">
        <f t="shared" si="3"/>
        <v>-8.2304629375628685E-2</v>
      </c>
      <c r="K18" s="3">
        <f t="shared" si="4"/>
        <v>-0.16736401673640172</v>
      </c>
      <c r="L18" s="3">
        <f t="shared" si="5"/>
        <v>-1.2953367875647622E-2</v>
      </c>
      <c r="M18" s="3">
        <f t="shared" si="6"/>
        <v>-5.1169590643274802E-2</v>
      </c>
      <c r="N18" s="3">
        <f t="shared" si="7"/>
        <v>-5.3755794017457267E-2</v>
      </c>
    </row>
    <row r="19" spans="1:14" x14ac:dyDescent="0.35">
      <c r="A19" s="1">
        <v>42522</v>
      </c>
      <c r="B19" s="3">
        <v>2.9850249999999998</v>
      </c>
      <c r="C19" s="3">
        <v>15.14</v>
      </c>
      <c r="D19" s="3">
        <v>2.2772269999999999</v>
      </c>
      <c r="E19" s="3">
        <v>2.0099999999999998</v>
      </c>
      <c r="F19" s="3">
        <v>3.84</v>
      </c>
      <c r="G19" s="3">
        <v>13.46</v>
      </c>
      <c r="H19" s="3">
        <f t="shared" si="1"/>
        <v>-3.2786348804813353E-3</v>
      </c>
      <c r="I19" s="3">
        <f t="shared" si="2"/>
        <v>1.8842530282638031E-2</v>
      </c>
      <c r="J19" s="3">
        <f t="shared" si="3"/>
        <v>3.1390177180332525E-2</v>
      </c>
      <c r="K19" s="3">
        <f t="shared" si="4"/>
        <v>1.0050251256281305E-2</v>
      </c>
      <c r="L19" s="3">
        <f t="shared" si="5"/>
        <v>7.8740157480314439E-3</v>
      </c>
      <c r="M19" s="3">
        <f t="shared" si="6"/>
        <v>3.6979969183359045E-2</v>
      </c>
      <c r="N19" s="3">
        <f t="shared" si="7"/>
        <v>1.6979780071985841E-2</v>
      </c>
    </row>
    <row r="20" spans="1:14" x14ac:dyDescent="0.35">
      <c r="A20" s="1">
        <v>42552</v>
      </c>
      <c r="B20" s="3">
        <v>3.220685</v>
      </c>
      <c r="C20" s="3">
        <v>18</v>
      </c>
      <c r="D20" s="3">
        <v>2.3762370000000002</v>
      </c>
      <c r="E20" s="3">
        <v>2.0099999999999998</v>
      </c>
      <c r="F20" s="3">
        <v>3.71</v>
      </c>
      <c r="G20" s="3">
        <v>14.36</v>
      </c>
      <c r="H20" s="3">
        <f t="shared" si="1"/>
        <v>7.8947412500732894E-2</v>
      </c>
      <c r="I20" s="3">
        <f t="shared" si="2"/>
        <v>0.18890356671070008</v>
      </c>
      <c r="J20" s="3">
        <f t="shared" si="3"/>
        <v>4.3478318147466312E-2</v>
      </c>
      <c r="K20" s="3">
        <f t="shared" si="4"/>
        <v>0</v>
      </c>
      <c r="L20" s="3">
        <f t="shared" si="5"/>
        <v>-3.3854166666666644E-2</v>
      </c>
      <c r="M20" s="3">
        <f t="shared" si="6"/>
        <v>6.6864784546805237E-2</v>
      </c>
      <c r="N20" s="3">
        <f t="shared" si="7"/>
        <v>5.7401463870347627E-2</v>
      </c>
    </row>
    <row r="21" spans="1:14" x14ac:dyDescent="0.35">
      <c r="A21" s="1">
        <v>42583</v>
      </c>
      <c r="B21" s="3">
        <v>3.2795999999999998</v>
      </c>
      <c r="C21" s="3">
        <v>18.16</v>
      </c>
      <c r="D21" s="3">
        <v>2.3267319999999998</v>
      </c>
      <c r="E21" s="3">
        <v>2.0299999999999998</v>
      </c>
      <c r="F21" s="3">
        <v>3.84</v>
      </c>
      <c r="G21" s="3">
        <v>15.2</v>
      </c>
      <c r="H21" s="3">
        <f t="shared" si="1"/>
        <v>1.8292692393077816E-2</v>
      </c>
      <c r="I21" s="3">
        <f t="shared" si="2"/>
        <v>8.8888888888888976E-3</v>
      </c>
      <c r="J21" s="3">
        <f t="shared" si="3"/>
        <v>-2.083335963542372E-2</v>
      </c>
      <c r="K21" s="3">
        <f t="shared" si="4"/>
        <v>9.9502487562189157E-3</v>
      </c>
      <c r="L21" s="3">
        <f t="shared" si="5"/>
        <v>3.5040431266846334E-2</v>
      </c>
      <c r="M21" s="3">
        <f t="shared" si="6"/>
        <v>5.849582172701949E-2</v>
      </c>
      <c r="N21" s="3">
        <f t="shared" si="7"/>
        <v>1.8309448390217843E-2</v>
      </c>
    </row>
    <row r="22" spans="1:14" x14ac:dyDescent="0.35">
      <c r="A22" s="1">
        <v>42614</v>
      </c>
      <c r="B22" s="3">
        <v>3.250143</v>
      </c>
      <c r="C22" s="3">
        <v>17.739999999999998</v>
      </c>
      <c r="D22" s="3">
        <v>2.2376230000000001</v>
      </c>
      <c r="E22" s="3">
        <v>2.0299999999999998</v>
      </c>
      <c r="F22" s="3">
        <v>3.93</v>
      </c>
      <c r="G22" s="3">
        <v>14.8</v>
      </c>
      <c r="H22" s="3">
        <f t="shared" si="1"/>
        <v>-8.9818880351261871E-3</v>
      </c>
      <c r="I22" s="3">
        <f t="shared" si="2"/>
        <v>-2.3127753303964851E-2</v>
      </c>
      <c r="J22" s="3">
        <f t="shared" si="3"/>
        <v>-3.8297921720249546E-2</v>
      </c>
      <c r="K22" s="3">
        <f t="shared" si="4"/>
        <v>0</v>
      </c>
      <c r="L22" s="3">
        <f t="shared" si="5"/>
        <v>2.343750000000008E-2</v>
      </c>
      <c r="M22" s="3">
        <f t="shared" si="6"/>
        <v>-2.6315789473684119E-2</v>
      </c>
      <c r="N22" s="3">
        <f t="shared" si="7"/>
        <v>-1.2216751617255207E-2</v>
      </c>
    </row>
    <row r="23" spans="1:14" x14ac:dyDescent="0.35">
      <c r="A23" s="1">
        <v>42644</v>
      </c>
      <c r="B23" s="3">
        <v>3.1323129999999999</v>
      </c>
      <c r="C23" s="3">
        <v>17.18</v>
      </c>
      <c r="D23" s="3">
        <v>2.287128</v>
      </c>
      <c r="E23" s="3">
        <v>2.0299999999999998</v>
      </c>
      <c r="F23" s="3">
        <v>4.1100000000000003</v>
      </c>
      <c r="G23" s="3">
        <v>15</v>
      </c>
      <c r="H23" s="3">
        <f t="shared" si="1"/>
        <v>-3.6253789448648904E-2</v>
      </c>
      <c r="I23" s="3">
        <f t="shared" si="2"/>
        <v>-3.1567080045095758E-2</v>
      </c>
      <c r="J23" s="3">
        <f t="shared" si="3"/>
        <v>2.2123923467000432E-2</v>
      </c>
      <c r="K23" s="3">
        <f t="shared" si="4"/>
        <v>0</v>
      </c>
      <c r="L23" s="3">
        <f t="shared" si="5"/>
        <v>4.5801526717557293E-2</v>
      </c>
      <c r="M23" s="3">
        <f t="shared" si="6"/>
        <v>1.3513513513513466E-2</v>
      </c>
      <c r="N23" s="3">
        <f t="shared" si="7"/>
        <v>2.2701363038612333E-3</v>
      </c>
    </row>
    <row r="24" spans="1:14" x14ac:dyDescent="0.35">
      <c r="A24" s="1">
        <v>42675</v>
      </c>
      <c r="B24" s="3">
        <v>3.0733980000000001</v>
      </c>
      <c r="C24" s="3">
        <v>15.78</v>
      </c>
      <c r="D24" s="3">
        <v>2.2079200000000001</v>
      </c>
      <c r="E24" s="3">
        <v>1.85</v>
      </c>
      <c r="F24" s="3">
        <v>4.04</v>
      </c>
      <c r="G24" s="3">
        <v>14.2</v>
      </c>
      <c r="H24" s="3">
        <f t="shared" si="1"/>
        <v>-1.8808784435016497E-2</v>
      </c>
      <c r="I24" s="3">
        <f t="shared" si="2"/>
        <v>-8.1490104772991873E-2</v>
      </c>
      <c r="J24" s="3">
        <f t="shared" si="3"/>
        <v>-3.4632080058483804E-2</v>
      </c>
      <c r="K24" s="3">
        <f t="shared" si="4"/>
        <v>-8.866995073891612E-2</v>
      </c>
      <c r="L24" s="3">
        <f t="shared" si="5"/>
        <v>-1.7031630170316371E-2</v>
      </c>
      <c r="M24" s="3">
        <f t="shared" si="6"/>
        <v>-5.3333333333333378E-2</v>
      </c>
      <c r="N24" s="3">
        <f t="shared" si="7"/>
        <v>-4.900411278095998E-2</v>
      </c>
    </row>
    <row r="25" spans="1:14" x14ac:dyDescent="0.35">
      <c r="A25" s="1">
        <v>42705</v>
      </c>
      <c r="B25" s="3">
        <v>2.9064719999999999</v>
      </c>
      <c r="C25" s="3">
        <v>16.379999000000002</v>
      </c>
      <c r="D25" s="3">
        <v>2.148514</v>
      </c>
      <c r="E25" s="3">
        <v>1.85</v>
      </c>
      <c r="F25" s="3">
        <v>3.96</v>
      </c>
      <c r="G25" s="3">
        <v>13.9</v>
      </c>
      <c r="H25" s="3">
        <f t="shared" si="1"/>
        <v>-5.4313173887664441E-2</v>
      </c>
      <c r="I25" s="3">
        <f t="shared" si="2"/>
        <v>3.8022750316856917E-2</v>
      </c>
      <c r="J25" s="3">
        <f t="shared" si="3"/>
        <v>-2.690586615457085E-2</v>
      </c>
      <c r="K25" s="3">
        <f t="shared" si="4"/>
        <v>0</v>
      </c>
      <c r="L25" s="3">
        <f t="shared" si="5"/>
        <v>-1.980198019801982E-2</v>
      </c>
      <c r="M25" s="3">
        <f t="shared" si="6"/>
        <v>-2.1126760563380208E-2</v>
      </c>
      <c r="N25" s="3">
        <f t="shared" si="7"/>
        <v>-1.4023642582145961E-2</v>
      </c>
    </row>
    <row r="26" spans="1:14" x14ac:dyDescent="0.35">
      <c r="A26" s="1">
        <v>42736</v>
      </c>
      <c r="B26" s="3">
        <v>2.877014</v>
      </c>
      <c r="C26" s="3">
        <v>15.88</v>
      </c>
      <c r="D26" s="3">
        <v>2.1287120000000002</v>
      </c>
      <c r="E26" s="3">
        <v>1.85</v>
      </c>
      <c r="F26" s="3">
        <v>4.3499999999999996</v>
      </c>
      <c r="G26" s="3">
        <v>13.1</v>
      </c>
      <c r="H26" s="3">
        <f t="shared" si="1"/>
        <v>-1.0135311814460963E-2</v>
      </c>
      <c r="I26" s="3">
        <f t="shared" si="2"/>
        <v>-3.0524971338520883E-2</v>
      </c>
      <c r="J26" s="3">
        <f t="shared" si="3"/>
        <v>-9.2166027310037896E-3</v>
      </c>
      <c r="K26" s="3">
        <f t="shared" si="4"/>
        <v>0</v>
      </c>
      <c r="L26" s="3">
        <f t="shared" si="5"/>
        <v>9.8484848484848411E-2</v>
      </c>
      <c r="M26" s="3">
        <f t="shared" si="6"/>
        <v>-5.7553956834532426E-2</v>
      </c>
      <c r="N26" s="3">
        <f t="shared" si="7"/>
        <v>-1.4912972387527337E-3</v>
      </c>
    </row>
    <row r="27" spans="1:14" x14ac:dyDescent="0.35">
      <c r="A27" s="1">
        <v>42767</v>
      </c>
      <c r="B27" s="3">
        <v>2.8671950000000002</v>
      </c>
      <c r="C27" s="3">
        <v>17.459999</v>
      </c>
      <c r="D27" s="3">
        <v>2.1584150000000002</v>
      </c>
      <c r="E27" s="3">
        <v>1.85</v>
      </c>
      <c r="F27" s="3">
        <v>4.54</v>
      </c>
      <c r="G27" s="3">
        <v>14</v>
      </c>
      <c r="H27" s="3">
        <f t="shared" si="1"/>
        <v>-3.4129135277060872E-3</v>
      </c>
      <c r="I27" s="3">
        <f t="shared" si="2"/>
        <v>9.9496158690176251E-2</v>
      </c>
      <c r="J27" s="3">
        <f t="shared" si="3"/>
        <v>1.39535080367847E-2</v>
      </c>
      <c r="K27" s="3">
        <f t="shared" si="4"/>
        <v>0</v>
      </c>
      <c r="L27" s="3">
        <f t="shared" si="5"/>
        <v>4.3678160919540326E-2</v>
      </c>
      <c r="M27" s="3">
        <f t="shared" si="6"/>
        <v>6.8702290076335909E-2</v>
      </c>
      <c r="N27" s="3">
        <f t="shared" si="7"/>
        <v>3.7076947939328357E-2</v>
      </c>
    </row>
    <row r="28" spans="1:14" x14ac:dyDescent="0.35">
      <c r="A28" s="1">
        <v>42795</v>
      </c>
      <c r="B28" s="3">
        <v>2.8573759999999999</v>
      </c>
      <c r="C28" s="3">
        <v>17.899999999999999</v>
      </c>
      <c r="D28" s="3">
        <v>2.1089099999999998</v>
      </c>
      <c r="E28" s="3">
        <v>2.16</v>
      </c>
      <c r="F28" s="3">
        <v>4.7699999999999996</v>
      </c>
      <c r="G28" s="3">
        <v>14.42</v>
      </c>
      <c r="H28" s="3">
        <f t="shared" si="1"/>
        <v>-3.4246013961381225E-3</v>
      </c>
      <c r="I28" s="3">
        <f t="shared" si="2"/>
        <v>2.5200516907246027E-2</v>
      </c>
      <c r="J28" s="3">
        <f t="shared" si="3"/>
        <v>-2.29358116951561E-2</v>
      </c>
      <c r="K28" s="3">
        <f t="shared" si="4"/>
        <v>0.16756756756756758</v>
      </c>
      <c r="L28" s="3">
        <f t="shared" si="5"/>
        <v>5.0660792951541751E-2</v>
      </c>
      <c r="M28" s="3">
        <f t="shared" si="6"/>
        <v>2.9999999999999995E-2</v>
      </c>
      <c r="N28" s="3">
        <f t="shared" si="7"/>
        <v>4.1186313004654689E-2</v>
      </c>
    </row>
    <row r="29" spans="1:14" x14ac:dyDescent="0.35">
      <c r="A29" s="1">
        <v>42826</v>
      </c>
      <c r="B29" s="3">
        <v>2.759185</v>
      </c>
      <c r="C29" s="3">
        <v>17.540001</v>
      </c>
      <c r="D29" s="3">
        <v>2.0792069999999998</v>
      </c>
      <c r="E29" s="3">
        <v>2.16</v>
      </c>
      <c r="F29" s="3">
        <v>5.14</v>
      </c>
      <c r="G29" s="3">
        <v>15</v>
      </c>
      <c r="H29" s="3">
        <f t="shared" si="1"/>
        <v>-3.4364045893855034E-2</v>
      </c>
      <c r="I29" s="3">
        <f t="shared" si="2"/>
        <v>-2.0111675977653544E-2</v>
      </c>
      <c r="J29" s="3">
        <f t="shared" si="3"/>
        <v>-1.4084527077969205E-2</v>
      </c>
      <c r="K29" s="3">
        <f t="shared" si="4"/>
        <v>0</v>
      </c>
      <c r="L29" s="3">
        <f t="shared" si="5"/>
        <v>7.756813417190779E-2</v>
      </c>
      <c r="M29" s="3">
        <f t="shared" si="6"/>
        <v>4.0221914008321778E-2</v>
      </c>
      <c r="N29" s="3">
        <f t="shared" si="7"/>
        <v>8.2066075317663231E-3</v>
      </c>
    </row>
    <row r="30" spans="1:14" x14ac:dyDescent="0.35">
      <c r="A30" s="1">
        <v>42856</v>
      </c>
      <c r="B30" s="3">
        <v>2.45479</v>
      </c>
      <c r="C30" s="3">
        <v>19.02</v>
      </c>
      <c r="D30" s="3">
        <v>1.712871</v>
      </c>
      <c r="E30" s="3">
        <v>2.16</v>
      </c>
      <c r="F30" s="3">
        <v>4.91</v>
      </c>
      <c r="G30" s="3">
        <v>14.74</v>
      </c>
      <c r="H30" s="3">
        <f t="shared" si="1"/>
        <v>-0.11032062003816344</v>
      </c>
      <c r="I30" s="3">
        <f t="shared" si="2"/>
        <v>8.4378501460746741E-2</v>
      </c>
      <c r="J30" s="3">
        <f t="shared" si="3"/>
        <v>-0.17619024945568182</v>
      </c>
      <c r="K30" s="3">
        <f t="shared" si="4"/>
        <v>0</v>
      </c>
      <c r="L30" s="3">
        <f t="shared" si="5"/>
        <v>-4.4747081712062167E-2</v>
      </c>
      <c r="M30" s="3">
        <f t="shared" si="6"/>
        <v>-1.7333333333333319E-2</v>
      </c>
      <c r="N30" s="3">
        <f t="shared" si="7"/>
        <v>-4.4044270939184955E-2</v>
      </c>
    </row>
    <row r="31" spans="1:14" x14ac:dyDescent="0.35">
      <c r="A31" s="1">
        <v>42887</v>
      </c>
      <c r="B31" s="3">
        <v>2.484248</v>
      </c>
      <c r="C31" s="3">
        <v>18.5</v>
      </c>
      <c r="D31" s="3">
        <v>1.712871</v>
      </c>
      <c r="E31" s="3">
        <v>2.0299999999999998</v>
      </c>
      <c r="F31" s="3">
        <v>4.82</v>
      </c>
      <c r="G31" s="3">
        <v>14.8</v>
      </c>
      <c r="H31" s="3">
        <f t="shared" si="1"/>
        <v>1.2000211830747226E-2</v>
      </c>
      <c r="I31" s="3">
        <f t="shared" si="2"/>
        <v>-2.7339642481598297E-2</v>
      </c>
      <c r="J31" s="3">
        <f t="shared" si="3"/>
        <v>0</v>
      </c>
      <c r="K31" s="3">
        <f t="shared" si="4"/>
        <v>-6.0185185185185334E-2</v>
      </c>
      <c r="L31" s="3">
        <f t="shared" si="5"/>
        <v>-1.8329938900203638E-2</v>
      </c>
      <c r="M31" s="3">
        <f t="shared" si="6"/>
        <v>4.070556309362313E-3</v>
      </c>
      <c r="N31" s="3">
        <f t="shared" si="7"/>
        <v>-1.4966992537760519E-2</v>
      </c>
    </row>
    <row r="32" spans="1:14" x14ac:dyDescent="0.35">
      <c r="A32" s="1">
        <v>42917</v>
      </c>
      <c r="B32" s="3">
        <v>2.3369599999999999</v>
      </c>
      <c r="C32" s="3">
        <v>17.98</v>
      </c>
      <c r="D32" s="3">
        <v>1.6930689999999999</v>
      </c>
      <c r="E32" s="3">
        <v>2.06</v>
      </c>
      <c r="F32" s="3">
        <v>5.25</v>
      </c>
      <c r="G32" s="3">
        <v>14.98</v>
      </c>
      <c r="H32" s="3">
        <f t="shared" si="1"/>
        <v>-5.9288766660977522E-2</v>
      </c>
      <c r="I32" s="3">
        <f t="shared" si="2"/>
        <v>-2.8108108108108085E-2</v>
      </c>
      <c r="J32" s="3">
        <f t="shared" si="3"/>
        <v>-1.1560707140234201E-2</v>
      </c>
      <c r="K32" s="3">
        <f t="shared" si="4"/>
        <v>1.4778325123152834E-2</v>
      </c>
      <c r="L32" s="3">
        <f t="shared" si="5"/>
        <v>8.9211618257261344E-2</v>
      </c>
      <c r="M32" s="3">
        <f t="shared" si="6"/>
        <v>1.2162162162162142E-2</v>
      </c>
      <c r="N32" s="3">
        <f t="shared" si="7"/>
        <v>2.8663270896638615E-3</v>
      </c>
    </row>
    <row r="33" spans="1:14" x14ac:dyDescent="0.35">
      <c r="A33" s="1">
        <v>42948</v>
      </c>
      <c r="B33" s="3">
        <v>2.209311</v>
      </c>
      <c r="C33" s="3">
        <v>18.799999</v>
      </c>
      <c r="D33" s="3">
        <v>1.8811880000000001</v>
      </c>
      <c r="E33" s="3">
        <v>2.06</v>
      </c>
      <c r="F33" s="3">
        <v>5.14</v>
      </c>
      <c r="G33" s="3">
        <v>14.7</v>
      </c>
      <c r="H33" s="3">
        <f t="shared" si="1"/>
        <v>-5.4621816376831396E-2</v>
      </c>
      <c r="I33" s="3">
        <f t="shared" si="2"/>
        <v>4.560617352614011E-2</v>
      </c>
      <c r="J33" s="3">
        <f t="shared" si="3"/>
        <v>0.11111124236519608</v>
      </c>
      <c r="K33" s="3">
        <f t="shared" si="4"/>
        <v>0</v>
      </c>
      <c r="L33" s="3">
        <f t="shared" si="5"/>
        <v>-2.0952380952381014E-2</v>
      </c>
      <c r="M33" s="3">
        <f t="shared" si="6"/>
        <v>-1.8691588785046804E-2</v>
      </c>
      <c r="N33" s="3">
        <f t="shared" si="7"/>
        <v>1.0410686683838734E-2</v>
      </c>
    </row>
    <row r="34" spans="1:14" x14ac:dyDescent="0.35">
      <c r="A34" s="1">
        <v>42979</v>
      </c>
      <c r="B34" s="3">
        <v>2.4253330000000002</v>
      </c>
      <c r="C34" s="3">
        <v>18.600000000000001</v>
      </c>
      <c r="D34" s="3">
        <v>1.792079</v>
      </c>
      <c r="E34" s="3">
        <v>2.06</v>
      </c>
      <c r="F34" s="3">
        <v>4.71</v>
      </c>
      <c r="G34" s="3">
        <v>15.16</v>
      </c>
      <c r="H34" s="3">
        <f t="shared" si="1"/>
        <v>9.7777995040082707E-2</v>
      </c>
      <c r="I34" s="3">
        <f t="shared" si="2"/>
        <v>-1.063824524671508E-2</v>
      </c>
      <c r="J34" s="3">
        <f t="shared" si="3"/>
        <v>-4.7368471412745618E-2</v>
      </c>
      <c r="K34" s="3">
        <f t="shared" si="4"/>
        <v>0</v>
      </c>
      <c r="L34" s="3">
        <f t="shared" si="5"/>
        <v>-8.3657587548638085E-2</v>
      </c>
      <c r="M34" s="3">
        <f t="shared" si="6"/>
        <v>3.1292517006802779E-2</v>
      </c>
      <c r="N34" s="3">
        <f t="shared" si="7"/>
        <v>-2.0993851532742575E-3</v>
      </c>
    </row>
    <row r="35" spans="1:14" x14ac:dyDescent="0.35">
      <c r="A35" s="1">
        <v>43009</v>
      </c>
      <c r="B35" s="3">
        <v>2.3664179999999999</v>
      </c>
      <c r="C35" s="3">
        <v>18.98</v>
      </c>
      <c r="D35" s="3">
        <v>1.7326729999999999</v>
      </c>
      <c r="E35" s="3">
        <v>2.06</v>
      </c>
      <c r="F35" s="3">
        <v>4.41</v>
      </c>
      <c r="G35" s="3">
        <v>15.2</v>
      </c>
      <c r="H35" s="3">
        <f t="shared" si="1"/>
        <v>-2.4291509660735358E-2</v>
      </c>
      <c r="I35" s="3">
        <f t="shared" si="2"/>
        <v>2.0430107526881666E-2</v>
      </c>
      <c r="J35" s="3">
        <f t="shared" si="3"/>
        <v>-3.3149208265930277E-2</v>
      </c>
      <c r="K35" s="3">
        <f t="shared" si="4"/>
        <v>0</v>
      </c>
      <c r="L35" s="3">
        <f t="shared" si="5"/>
        <v>-6.3694267515923525E-2</v>
      </c>
      <c r="M35" s="3">
        <f t="shared" si="6"/>
        <v>2.6385224274405768E-3</v>
      </c>
      <c r="N35" s="3">
        <f t="shared" si="7"/>
        <v>-1.6347661459894094E-2</v>
      </c>
    </row>
    <row r="36" spans="1:14" x14ac:dyDescent="0.35">
      <c r="A36" s="1">
        <v>43040</v>
      </c>
      <c r="B36" s="3">
        <v>2.2780450000000001</v>
      </c>
      <c r="C36" s="3">
        <v>17.600000000000001</v>
      </c>
      <c r="D36" s="3">
        <v>1.7623759999999999</v>
      </c>
      <c r="E36" s="3">
        <v>2.06</v>
      </c>
      <c r="F36" s="3">
        <v>4.46</v>
      </c>
      <c r="G36" s="3">
        <v>15.16</v>
      </c>
      <c r="H36" s="3">
        <f t="shared" si="1"/>
        <v>-3.7344628041199743E-2</v>
      </c>
      <c r="I36" s="3">
        <f t="shared" si="2"/>
        <v>-7.270811380400416E-2</v>
      </c>
      <c r="J36" s="3">
        <f t="shared" si="3"/>
        <v>1.7142876930615319E-2</v>
      </c>
      <c r="K36" s="3">
        <f t="shared" si="4"/>
        <v>0</v>
      </c>
      <c r="L36" s="3">
        <f t="shared" si="5"/>
        <v>1.1337868480725584E-2</v>
      </c>
      <c r="M36" s="3">
        <f t="shared" si="6"/>
        <v>-2.631578947368365E-3</v>
      </c>
      <c r="N36" s="3">
        <f t="shared" si="7"/>
        <v>-1.4036736016051272E-2</v>
      </c>
    </row>
    <row r="37" spans="1:14" x14ac:dyDescent="0.35">
      <c r="A37" s="1">
        <v>43070</v>
      </c>
      <c r="B37" s="3">
        <v>2.1994919999999998</v>
      </c>
      <c r="C37" s="3">
        <v>18.899999999999999</v>
      </c>
      <c r="D37" s="3">
        <v>1.722772</v>
      </c>
      <c r="E37" s="3">
        <v>2.25</v>
      </c>
      <c r="F37" s="3">
        <v>4.93</v>
      </c>
      <c r="G37" s="3">
        <v>15.36</v>
      </c>
      <c r="H37" s="3">
        <f t="shared" si="1"/>
        <v>-3.4482637524719799E-2</v>
      </c>
      <c r="I37" s="3">
        <f t="shared" si="2"/>
        <v>7.3863636363636201E-2</v>
      </c>
      <c r="J37" s="3">
        <f t="shared" si="3"/>
        <v>-2.2471935614193552E-2</v>
      </c>
      <c r="K37" s="3">
        <f t="shared" si="4"/>
        <v>9.2233009708737837E-2</v>
      </c>
      <c r="L37" s="3">
        <f t="shared" si="5"/>
        <v>0.10538116591928245</v>
      </c>
      <c r="M37" s="3">
        <f t="shared" si="6"/>
        <v>1.319261213720312E-2</v>
      </c>
      <c r="N37" s="3">
        <f t="shared" si="7"/>
        <v>3.7960232360024049E-2</v>
      </c>
    </row>
    <row r="38" spans="1:14" x14ac:dyDescent="0.35">
      <c r="A38" s="1">
        <v>43101</v>
      </c>
      <c r="B38" s="3">
        <v>2.219131</v>
      </c>
      <c r="C38" s="3">
        <v>19.100000000000001</v>
      </c>
      <c r="D38" s="3">
        <v>1.831683</v>
      </c>
      <c r="E38" s="3">
        <v>2.25</v>
      </c>
      <c r="F38" s="3">
        <v>4.83</v>
      </c>
      <c r="G38" s="3">
        <v>15.9</v>
      </c>
      <c r="H38" s="3">
        <f t="shared" si="1"/>
        <v>8.9288799413683641E-3</v>
      </c>
      <c r="I38" s="3">
        <f t="shared" si="2"/>
        <v>1.0582010582010732E-2</v>
      </c>
      <c r="J38" s="3">
        <f t="shared" si="3"/>
        <v>6.3218464196074686E-2</v>
      </c>
      <c r="K38" s="3">
        <f t="shared" si="4"/>
        <v>0</v>
      </c>
      <c r="L38" s="3">
        <f t="shared" si="5"/>
        <v>-2.0283975659229139E-2</v>
      </c>
      <c r="M38" s="3">
        <f t="shared" si="6"/>
        <v>3.5156250000000062E-2</v>
      </c>
      <c r="N38" s="3">
        <f t="shared" si="7"/>
        <v>1.627019156433946E-2</v>
      </c>
    </row>
    <row r="39" spans="1:14" x14ac:dyDescent="0.35">
      <c r="A39" s="1">
        <v>43132</v>
      </c>
      <c r="B39" s="3">
        <v>2.209311</v>
      </c>
      <c r="C39" s="3">
        <v>21.1</v>
      </c>
      <c r="D39" s="3">
        <v>1.9405939999999999</v>
      </c>
      <c r="E39" s="3">
        <v>2.25</v>
      </c>
      <c r="F39" s="3">
        <v>4.62</v>
      </c>
      <c r="G39" s="3">
        <v>18.079999999999998</v>
      </c>
      <c r="H39" s="3">
        <f t="shared" si="1"/>
        <v>-4.4251556127150402E-3</v>
      </c>
      <c r="I39" s="3">
        <f t="shared" si="2"/>
        <v>0.10471204188481674</v>
      </c>
      <c r="J39" s="3">
        <f t="shared" si="3"/>
        <v>5.9459524382767096E-2</v>
      </c>
      <c r="K39" s="3">
        <f t="shared" si="4"/>
        <v>0</v>
      </c>
      <c r="L39" s="3">
        <f t="shared" si="5"/>
        <v>-4.3478260869565209E-2</v>
      </c>
      <c r="M39" s="3">
        <f t="shared" si="6"/>
        <v>0.13710691823899357</v>
      </c>
      <c r="N39" s="3">
        <f t="shared" si="7"/>
        <v>4.2237623839650337E-2</v>
      </c>
    </row>
    <row r="40" spans="1:14" x14ac:dyDescent="0.35">
      <c r="A40" s="1">
        <v>43160</v>
      </c>
      <c r="B40" s="3">
        <v>2.140577</v>
      </c>
      <c r="C40" s="3">
        <v>20.799999</v>
      </c>
      <c r="D40" s="3">
        <v>1.8118810000000001</v>
      </c>
      <c r="E40" s="3">
        <v>2.25</v>
      </c>
      <c r="F40" s="3">
        <v>4.3600000000000003</v>
      </c>
      <c r="G40" s="3">
        <v>19</v>
      </c>
      <c r="H40" s="3">
        <f t="shared" si="1"/>
        <v>-3.1111056795534931E-2</v>
      </c>
      <c r="I40" s="3">
        <f t="shared" si="2"/>
        <v>-1.4218056872037995E-2</v>
      </c>
      <c r="J40" s="3">
        <f t="shared" si="3"/>
        <v>-6.6326598969181527E-2</v>
      </c>
      <c r="K40" s="3">
        <f t="shared" si="4"/>
        <v>0</v>
      </c>
      <c r="L40" s="3">
        <f t="shared" si="5"/>
        <v>-5.6277056277056231E-2</v>
      </c>
      <c r="M40" s="3">
        <f t="shared" si="6"/>
        <v>5.0884955752212489E-2</v>
      </c>
      <c r="N40" s="3">
        <f t="shared" si="7"/>
        <v>-1.9511870454038419E-2</v>
      </c>
    </row>
    <row r="41" spans="1:14" x14ac:dyDescent="0.35">
      <c r="A41" s="1">
        <v>43191</v>
      </c>
      <c r="B41" s="3">
        <v>2.0620240000000001</v>
      </c>
      <c r="C41" s="3">
        <v>20.48</v>
      </c>
      <c r="D41" s="3">
        <v>1.7722770000000001</v>
      </c>
      <c r="E41" s="3">
        <v>2.3199999999999998</v>
      </c>
      <c r="F41" s="3">
        <v>4.5599999999999996</v>
      </c>
      <c r="G41" s="3">
        <v>19.7</v>
      </c>
      <c r="H41" s="3">
        <f t="shared" si="1"/>
        <v>-3.6697114843334239E-2</v>
      </c>
      <c r="I41" s="3">
        <f t="shared" si="2"/>
        <v>-1.5384568047334967E-2</v>
      </c>
      <c r="J41" s="3">
        <f t="shared" si="3"/>
        <v>-2.1857947624595638E-2</v>
      </c>
      <c r="K41" s="3">
        <f t="shared" si="4"/>
        <v>3.1111111111111041E-2</v>
      </c>
      <c r="L41" s="3">
        <f t="shared" si="5"/>
        <v>4.5871559633027359E-2</v>
      </c>
      <c r="M41" s="3">
        <f t="shared" si="6"/>
        <v>3.6842105263157857E-2</v>
      </c>
      <c r="N41" s="3">
        <f t="shared" si="7"/>
        <v>6.6488537535216363E-3</v>
      </c>
    </row>
    <row r="42" spans="1:14" x14ac:dyDescent="0.35">
      <c r="A42" s="1">
        <v>43221</v>
      </c>
      <c r="B42" s="3">
        <v>2.435152</v>
      </c>
      <c r="C42" s="3">
        <v>22.84</v>
      </c>
      <c r="D42" s="3">
        <v>2.118811</v>
      </c>
      <c r="E42" s="3">
        <v>2.3199999999999998</v>
      </c>
      <c r="F42" s="3">
        <v>4.43</v>
      </c>
      <c r="G42" s="3">
        <v>19.86</v>
      </c>
      <c r="H42" s="3">
        <f t="shared" si="1"/>
        <v>0.18095230705365209</v>
      </c>
      <c r="I42" s="3">
        <f t="shared" si="2"/>
        <v>0.11523437499999997</v>
      </c>
      <c r="J42" s="3">
        <f t="shared" si="3"/>
        <v>0.19553038266591502</v>
      </c>
      <c r="K42" s="3">
        <f t="shared" si="4"/>
        <v>0</v>
      </c>
      <c r="L42" s="3">
        <f t="shared" si="5"/>
        <v>-2.8508771929824539E-2</v>
      </c>
      <c r="M42" s="3">
        <f t="shared" si="6"/>
        <v>8.12182741116752E-3</v>
      </c>
      <c r="N42" s="3">
        <f t="shared" si="7"/>
        <v>7.8570731037491709E-2</v>
      </c>
    </row>
    <row r="43" spans="1:14" x14ac:dyDescent="0.35">
      <c r="A43" s="1">
        <v>43252</v>
      </c>
      <c r="B43" s="3">
        <v>2.4056950000000001</v>
      </c>
      <c r="C43" s="3">
        <v>21.879999000000002</v>
      </c>
      <c r="D43" s="3">
        <v>2.0693060000000001</v>
      </c>
      <c r="E43" s="3">
        <v>2.3199999999999998</v>
      </c>
      <c r="F43" s="3">
        <v>4.34</v>
      </c>
      <c r="G43" s="3">
        <v>19.7</v>
      </c>
      <c r="H43" s="3">
        <f t="shared" si="1"/>
        <v>-1.2096575490975448E-2</v>
      </c>
      <c r="I43" s="3">
        <f t="shared" si="2"/>
        <v>-4.2031567425569107E-2</v>
      </c>
      <c r="J43" s="3">
        <f t="shared" si="3"/>
        <v>-2.3364519062813959E-2</v>
      </c>
      <c r="K43" s="3">
        <f t="shared" si="4"/>
        <v>0</v>
      </c>
      <c r="L43" s="3">
        <f t="shared" si="5"/>
        <v>-2.0316027088036086E-2</v>
      </c>
      <c r="M43" s="3">
        <f t="shared" si="6"/>
        <v>-8.0563947633434108E-3</v>
      </c>
      <c r="N43" s="3">
        <f t="shared" si="7"/>
        <v>-1.7647709474584029E-2</v>
      </c>
    </row>
    <row r="44" spans="1:14" x14ac:dyDescent="0.35">
      <c r="A44" s="1">
        <v>43282</v>
      </c>
      <c r="B44" s="3">
        <v>2.3173219999999999</v>
      </c>
      <c r="C44" s="3">
        <v>22.66</v>
      </c>
      <c r="D44" s="3">
        <v>2.1782170000000001</v>
      </c>
      <c r="E44" s="3">
        <v>2.3199999999999998</v>
      </c>
      <c r="F44" s="3">
        <v>4.5</v>
      </c>
      <c r="G44" s="3">
        <v>18.98</v>
      </c>
      <c r="H44" s="3">
        <f t="shared" si="1"/>
        <v>-3.6734914442604009E-2</v>
      </c>
      <c r="I44" s="3">
        <f t="shared" si="2"/>
        <v>3.5649041848676434E-2</v>
      </c>
      <c r="J44" s="3">
        <f t="shared" si="3"/>
        <v>5.2631655250600914E-2</v>
      </c>
      <c r="K44" s="3">
        <f t="shared" si="4"/>
        <v>0</v>
      </c>
      <c r="L44" s="3">
        <f t="shared" si="5"/>
        <v>3.6866359447004643E-2</v>
      </c>
      <c r="M44" s="3">
        <f t="shared" si="6"/>
        <v>-3.6548223350253747E-2</v>
      </c>
      <c r="N44" s="3">
        <f t="shared" si="7"/>
        <v>8.6457152561958232E-3</v>
      </c>
    </row>
    <row r="45" spans="1:14" x14ac:dyDescent="0.35">
      <c r="A45" s="1">
        <v>43313</v>
      </c>
      <c r="B45" s="3">
        <v>2.1700349999999999</v>
      </c>
      <c r="C45" s="3">
        <v>21.879999000000002</v>
      </c>
      <c r="D45" s="3">
        <v>1.90099</v>
      </c>
      <c r="E45" s="3">
        <v>1.85</v>
      </c>
      <c r="F45" s="3">
        <v>4.6399999999999997</v>
      </c>
      <c r="G45" s="3">
        <v>20.399999999999999</v>
      </c>
      <c r="H45" s="3">
        <f t="shared" si="1"/>
        <v>-6.3559142838155405E-2</v>
      </c>
      <c r="I45" s="3">
        <f t="shared" si="2"/>
        <v>-3.4421932921447421E-2</v>
      </c>
      <c r="J45" s="3">
        <f t="shared" si="3"/>
        <v>-0.12727244347096736</v>
      </c>
      <c r="K45" s="3">
        <f t="shared" si="4"/>
        <v>-0.20258620689655163</v>
      </c>
      <c r="L45" s="3">
        <f t="shared" si="5"/>
        <v>3.1111111111111041E-2</v>
      </c>
      <c r="M45" s="3">
        <f t="shared" si="6"/>
        <v>7.4815595363540474E-2</v>
      </c>
      <c r="N45" s="3">
        <f t="shared" si="7"/>
        <v>-5.3662900376066802E-2</v>
      </c>
    </row>
    <row r="46" spans="1:14" x14ac:dyDescent="0.35">
      <c r="A46" s="1">
        <v>43344</v>
      </c>
      <c r="B46" s="3">
        <v>2.3271410000000001</v>
      </c>
      <c r="C46" s="3">
        <v>20.120000999999998</v>
      </c>
      <c r="D46" s="3">
        <v>1.90099</v>
      </c>
      <c r="E46" s="3">
        <v>1.95</v>
      </c>
      <c r="F46" s="3">
        <v>4.4400000000000004</v>
      </c>
      <c r="G46" s="3">
        <v>20</v>
      </c>
      <c r="H46" s="3">
        <f t="shared" si="1"/>
        <v>7.2397910632777895E-2</v>
      </c>
      <c r="I46" s="3">
        <f t="shared" si="2"/>
        <v>-8.043866912425375E-2</v>
      </c>
      <c r="J46" s="3">
        <f t="shared" si="3"/>
        <v>0</v>
      </c>
      <c r="K46" s="3">
        <f t="shared" si="4"/>
        <v>5.4054054054053981E-2</v>
      </c>
      <c r="L46" s="3">
        <f t="shared" si="5"/>
        <v>-4.3103448275861919E-2</v>
      </c>
      <c r="M46" s="3">
        <f t="shared" si="6"/>
        <v>-1.9607843137254832E-2</v>
      </c>
      <c r="N46" s="3">
        <f t="shared" si="7"/>
        <v>-2.7835559082847882E-3</v>
      </c>
    </row>
    <row r="47" spans="1:14" x14ac:dyDescent="0.35">
      <c r="A47" s="1">
        <v>43374</v>
      </c>
      <c r="B47" s="3">
        <v>2.0620240000000001</v>
      </c>
      <c r="C47" s="3">
        <v>18</v>
      </c>
      <c r="D47" s="3">
        <v>1.792079</v>
      </c>
      <c r="E47" s="3">
        <v>1.82</v>
      </c>
      <c r="F47" s="3">
        <v>3.99</v>
      </c>
      <c r="G47" s="3">
        <v>18.2</v>
      </c>
      <c r="H47" s="3">
        <f t="shared" si="1"/>
        <v>-0.11392390920876734</v>
      </c>
      <c r="I47" s="3">
        <f t="shared" si="2"/>
        <v>-0.10536783770537579</v>
      </c>
      <c r="J47" s="3">
        <f t="shared" si="3"/>
        <v>-5.7291726942277438E-2</v>
      </c>
      <c r="K47" s="3">
        <f t="shared" si="4"/>
        <v>-6.666666666666661E-2</v>
      </c>
      <c r="L47" s="3">
        <f t="shared" si="5"/>
        <v>-0.10135135135135138</v>
      </c>
      <c r="M47" s="3">
        <f t="shared" si="6"/>
        <v>-9.0000000000000038E-2</v>
      </c>
      <c r="N47" s="3">
        <f t="shared" si="7"/>
        <v>-8.9118068695468927E-2</v>
      </c>
    </row>
    <row r="48" spans="1:14" x14ac:dyDescent="0.35">
      <c r="A48" s="1">
        <v>43405</v>
      </c>
      <c r="B48" s="3">
        <v>2.0914809999999999</v>
      </c>
      <c r="C48" s="3">
        <v>19.959999</v>
      </c>
      <c r="D48" s="3">
        <v>1.960396</v>
      </c>
      <c r="E48" s="3">
        <v>1.82</v>
      </c>
      <c r="F48" s="3">
        <v>2.54</v>
      </c>
      <c r="G48" s="3">
        <v>19.600000000000001</v>
      </c>
      <c r="H48" s="3">
        <f t="shared" si="1"/>
        <v>1.428547873351612E-2</v>
      </c>
      <c r="I48" s="3">
        <f t="shared" si="2"/>
        <v>0.10888883333333332</v>
      </c>
      <c r="J48" s="3">
        <f t="shared" si="3"/>
        <v>9.3922756753469047E-2</v>
      </c>
      <c r="K48" s="3">
        <f t="shared" si="4"/>
        <v>0</v>
      </c>
      <c r="L48" s="3">
        <f t="shared" si="5"/>
        <v>-0.36340852130325818</v>
      </c>
      <c r="M48" s="3">
        <f t="shared" si="6"/>
        <v>7.6923076923077038E-2</v>
      </c>
      <c r="N48" s="3">
        <f t="shared" si="7"/>
        <v>-1.1567042205829103E-2</v>
      </c>
    </row>
    <row r="49" spans="1:14" x14ac:dyDescent="0.35">
      <c r="A49" s="1">
        <v>43435</v>
      </c>
      <c r="B49" s="3">
        <v>2.0718429999999999</v>
      </c>
      <c r="C49" s="3">
        <v>20.459999</v>
      </c>
      <c r="D49" s="3">
        <v>1.930693</v>
      </c>
      <c r="E49" s="3">
        <v>1.42</v>
      </c>
      <c r="F49" s="3">
        <v>2.69</v>
      </c>
      <c r="G49" s="3">
        <v>19.72</v>
      </c>
      <c r="H49" s="3">
        <f t="shared" si="1"/>
        <v>-9.3895187190321337E-3</v>
      </c>
      <c r="I49" s="3">
        <f t="shared" si="2"/>
        <v>2.5050101455415905E-2</v>
      </c>
      <c r="J49" s="3">
        <f t="shared" si="3"/>
        <v>-1.5151530609121848E-2</v>
      </c>
      <c r="K49" s="3">
        <f t="shared" si="4"/>
        <v>-0.21978021978021983</v>
      </c>
      <c r="L49" s="3">
        <f t="shared" si="5"/>
        <v>5.9055118110236185E-2</v>
      </c>
      <c r="M49" s="3">
        <f t="shared" si="6"/>
        <v>6.1224489795917054E-3</v>
      </c>
      <c r="N49" s="3">
        <f t="shared" si="7"/>
        <v>-2.5687403213873774E-2</v>
      </c>
    </row>
    <row r="50" spans="1:14" x14ac:dyDescent="0.35">
      <c r="A50" s="1">
        <v>43466</v>
      </c>
      <c r="B50" s="3">
        <v>2.219131</v>
      </c>
      <c r="C50" s="3">
        <v>20.82</v>
      </c>
      <c r="D50" s="3">
        <v>2.0396030000000001</v>
      </c>
      <c r="E50" s="3">
        <v>1.42</v>
      </c>
      <c r="F50" s="3">
        <v>2.93</v>
      </c>
      <c r="G50" s="3">
        <v>20.14</v>
      </c>
      <c r="H50" s="3">
        <f t="shared" si="1"/>
        <v>7.1090328755605559E-2</v>
      </c>
      <c r="I50" s="3">
        <f t="shared" si="2"/>
        <v>1.7595357653732067E-2</v>
      </c>
      <c r="J50" s="3">
        <f t="shared" si="3"/>
        <v>5.6409796896761975E-2</v>
      </c>
      <c r="K50" s="3">
        <f t="shared" si="4"/>
        <v>0</v>
      </c>
      <c r="L50" s="3">
        <f t="shared" si="5"/>
        <v>8.9219330855018666E-2</v>
      </c>
      <c r="M50" s="3">
        <f t="shared" si="6"/>
        <v>2.1298174442190756E-2</v>
      </c>
      <c r="N50" s="3">
        <f t="shared" si="7"/>
        <v>4.2610685200171625E-2</v>
      </c>
    </row>
    <row r="51" spans="1:14" x14ac:dyDescent="0.35">
      <c r="A51" s="1">
        <v>43497</v>
      </c>
      <c r="B51" s="3">
        <v>2.3173219999999999</v>
      </c>
      <c r="C51" s="3">
        <v>22.68</v>
      </c>
      <c r="D51" s="3">
        <v>2.3861379999999999</v>
      </c>
      <c r="E51" s="3">
        <v>1.71</v>
      </c>
      <c r="F51" s="3">
        <v>3.11</v>
      </c>
      <c r="G51" s="3">
        <v>21.92</v>
      </c>
      <c r="H51" s="3">
        <f t="shared" si="1"/>
        <v>4.4247500485550387E-2</v>
      </c>
      <c r="I51" s="3">
        <f t="shared" si="2"/>
        <v>8.9337175792507176E-2</v>
      </c>
      <c r="J51" s="3">
        <f t="shared" si="3"/>
        <v>0.16990316252721721</v>
      </c>
      <c r="K51" s="3">
        <f t="shared" si="4"/>
        <v>0.20422535211267609</v>
      </c>
      <c r="L51" s="3">
        <f t="shared" si="5"/>
        <v>6.143344709897601E-2</v>
      </c>
      <c r="M51" s="3">
        <f t="shared" si="6"/>
        <v>8.8381330685203624E-2</v>
      </c>
      <c r="N51" s="3">
        <f t="shared" si="7"/>
        <v>0.10960991238264517</v>
      </c>
    </row>
    <row r="52" spans="1:14" x14ac:dyDescent="0.35">
      <c r="A52" s="1">
        <v>43525</v>
      </c>
      <c r="B52" s="3">
        <v>2.3762370000000002</v>
      </c>
      <c r="C52" s="3">
        <v>24</v>
      </c>
      <c r="D52" s="3">
        <v>2.3564349999999998</v>
      </c>
      <c r="E52" s="3">
        <v>1.61</v>
      </c>
      <c r="F52" s="3">
        <v>2.91</v>
      </c>
      <c r="G52" s="3">
        <v>26.74</v>
      </c>
      <c r="H52" s="3">
        <f t="shared" si="1"/>
        <v>2.5423743441783348E-2</v>
      </c>
      <c r="I52" s="3">
        <f t="shared" si="2"/>
        <v>5.8201058201058212E-2</v>
      </c>
      <c r="J52" s="3">
        <f t="shared" si="3"/>
        <v>-1.2448148430644009E-2</v>
      </c>
      <c r="K52" s="3">
        <f t="shared" si="4"/>
        <v>-5.847953216374261E-2</v>
      </c>
      <c r="L52" s="3">
        <f t="shared" si="5"/>
        <v>-6.4308681672025636E-2</v>
      </c>
      <c r="M52" s="3">
        <f t="shared" si="6"/>
        <v>0.21989051094890494</v>
      </c>
      <c r="N52" s="3">
        <f t="shared" si="7"/>
        <v>2.8052101019233219E-2</v>
      </c>
    </row>
    <row r="53" spans="1:14" x14ac:dyDescent="0.35">
      <c r="A53" s="1">
        <v>43556</v>
      </c>
      <c r="B53" s="3">
        <v>2.5824400000000001</v>
      </c>
      <c r="C53" s="3">
        <v>24.5</v>
      </c>
      <c r="D53" s="3">
        <v>2.4059400000000002</v>
      </c>
      <c r="E53" s="3">
        <v>1.73</v>
      </c>
      <c r="F53" s="3">
        <v>2.9</v>
      </c>
      <c r="G53" s="3">
        <v>24.34</v>
      </c>
      <c r="H53" s="3">
        <f t="shared" si="1"/>
        <v>8.6777118612326926E-2</v>
      </c>
      <c r="I53" s="3">
        <f t="shared" si="2"/>
        <v>2.0833333333333332E-2</v>
      </c>
      <c r="J53" s="3">
        <f t="shared" si="3"/>
        <v>2.100843010734451E-2</v>
      </c>
      <c r="K53" s="3">
        <f t="shared" si="4"/>
        <v>7.4534161490683148E-2</v>
      </c>
      <c r="L53" s="3">
        <f t="shared" si="5"/>
        <v>-3.4364261168385673E-3</v>
      </c>
      <c r="M53" s="3">
        <f t="shared" si="6"/>
        <v>-8.9753178758414306E-2</v>
      </c>
      <c r="N53" s="3">
        <f t="shared" si="7"/>
        <v>1.8330905226028128E-2</v>
      </c>
    </row>
    <row r="54" spans="1:14" x14ac:dyDescent="0.35">
      <c r="A54" s="1">
        <v>43586</v>
      </c>
      <c r="B54" s="3">
        <v>2.46461</v>
      </c>
      <c r="C54" s="3">
        <v>24.52</v>
      </c>
      <c r="D54" s="3">
        <v>2.396039</v>
      </c>
      <c r="E54" s="3">
        <v>1.63</v>
      </c>
      <c r="F54" s="3">
        <v>2.86</v>
      </c>
      <c r="G54" s="3">
        <v>24.38</v>
      </c>
      <c r="H54" s="3">
        <f t="shared" si="1"/>
        <v>-4.562739114945559E-2</v>
      </c>
      <c r="I54" s="3">
        <f t="shared" si="2"/>
        <v>8.1632653061222747E-4</v>
      </c>
      <c r="J54" s="3">
        <f t="shared" si="3"/>
        <v>-4.1152314687814984E-3</v>
      </c>
      <c r="K54" s="3">
        <f t="shared" si="4"/>
        <v>-5.780346820809254E-2</v>
      </c>
      <c r="L54" s="3">
        <f t="shared" si="5"/>
        <v>-1.3793103448275874E-2</v>
      </c>
      <c r="M54" s="3">
        <f t="shared" si="6"/>
        <v>1.6433853738701376E-3</v>
      </c>
      <c r="N54" s="3">
        <f t="shared" si="7"/>
        <v>-1.9817209711099529E-2</v>
      </c>
    </row>
    <row r="55" spans="1:14" x14ac:dyDescent="0.35">
      <c r="A55" s="1">
        <v>43617</v>
      </c>
      <c r="B55" s="3">
        <v>2.710089</v>
      </c>
      <c r="C55" s="3">
        <v>23.459999</v>
      </c>
      <c r="D55" s="3">
        <v>2.6336629999999999</v>
      </c>
      <c r="E55" s="3">
        <v>1.55</v>
      </c>
      <c r="F55" s="3">
        <v>2.95</v>
      </c>
      <c r="G55" s="3">
        <v>25.66</v>
      </c>
      <c r="H55" s="3">
        <f t="shared" si="1"/>
        <v>9.960155967881329E-2</v>
      </c>
      <c r="I55" s="3">
        <f t="shared" si="2"/>
        <v>-4.3230057096247949E-2</v>
      </c>
      <c r="J55" s="3">
        <f t="shared" si="3"/>
        <v>9.9173677890885673E-2</v>
      </c>
      <c r="K55" s="3">
        <f t="shared" si="4"/>
        <v>-4.9079754601226905E-2</v>
      </c>
      <c r="L55" s="3">
        <f t="shared" si="5"/>
        <v>3.1468531468531576E-2</v>
      </c>
      <c r="M55" s="3">
        <f t="shared" si="6"/>
        <v>5.2502050861361824E-2</v>
      </c>
      <c r="N55" s="3">
        <f t="shared" si="7"/>
        <v>3.1745682567292995E-2</v>
      </c>
    </row>
    <row r="56" spans="1:14" x14ac:dyDescent="0.35">
      <c r="A56" s="1">
        <v>43647</v>
      </c>
      <c r="B56" s="3">
        <v>2.5824400000000001</v>
      </c>
      <c r="C56" s="3">
        <v>22.780000999999999</v>
      </c>
      <c r="D56" s="3">
        <v>2.6534650000000002</v>
      </c>
      <c r="E56" s="3">
        <v>1.6</v>
      </c>
      <c r="F56" s="3">
        <v>3.52</v>
      </c>
      <c r="G56" s="3">
        <v>24.66</v>
      </c>
      <c r="H56" s="3">
        <f t="shared" si="1"/>
        <v>-4.7101405156804776E-2</v>
      </c>
      <c r="I56" s="3">
        <f t="shared" si="2"/>
        <v>-2.898542323041025E-2</v>
      </c>
      <c r="J56" s="3">
        <f t="shared" si="3"/>
        <v>7.5188055571272106E-3</v>
      </c>
      <c r="K56" s="3">
        <f t="shared" si="4"/>
        <v>3.2258064516129059E-2</v>
      </c>
      <c r="L56" s="3">
        <f t="shared" si="5"/>
        <v>0.19322033898305077</v>
      </c>
      <c r="M56" s="3">
        <f t="shared" si="6"/>
        <v>-3.8971161340607949E-2</v>
      </c>
      <c r="N56" s="3">
        <f t="shared" si="7"/>
        <v>1.9660467862058297E-2</v>
      </c>
    </row>
    <row r="57" spans="1:14" x14ac:dyDescent="0.35">
      <c r="A57" s="1">
        <v>43678</v>
      </c>
      <c r="B57" s="3">
        <v>2.6118969999999999</v>
      </c>
      <c r="C57" s="3">
        <v>24.5</v>
      </c>
      <c r="D57" s="3">
        <v>2.8118810000000001</v>
      </c>
      <c r="E57" s="3">
        <v>1.37</v>
      </c>
      <c r="F57" s="3">
        <v>2.86</v>
      </c>
      <c r="G57" s="3">
        <v>25.9</v>
      </c>
      <c r="H57" s="3">
        <f t="shared" si="1"/>
        <v>1.1406654172023297E-2</v>
      </c>
      <c r="I57" s="3">
        <f t="shared" si="2"/>
        <v>7.5504781584513611E-2</v>
      </c>
      <c r="J57" s="3">
        <f t="shared" si="3"/>
        <v>5.9701560035651455E-2</v>
      </c>
      <c r="K57" s="3">
        <f t="shared" si="4"/>
        <v>-0.14374999999999999</v>
      </c>
      <c r="L57" s="3">
        <f t="shared" si="5"/>
        <v>-0.18750000000000003</v>
      </c>
      <c r="M57" s="3">
        <f t="shared" si="6"/>
        <v>5.0283860502838541E-2</v>
      </c>
      <c r="N57" s="3">
        <f t="shared" si="7"/>
        <v>-2.2396669055619024E-2</v>
      </c>
    </row>
    <row r="58" spans="1:14" x14ac:dyDescent="0.35">
      <c r="A58" s="1">
        <v>43709</v>
      </c>
      <c r="B58" s="3">
        <v>2.5922589999999999</v>
      </c>
      <c r="C58" s="3">
        <v>24</v>
      </c>
      <c r="D58" s="3">
        <v>2.8019799999999999</v>
      </c>
      <c r="E58" s="3">
        <v>1.37</v>
      </c>
      <c r="F58" s="3">
        <v>2.76</v>
      </c>
      <c r="G58" s="3">
        <v>25.98</v>
      </c>
      <c r="H58" s="3">
        <f t="shared" si="1"/>
        <v>-7.5186732095484793E-3</v>
      </c>
      <c r="I58" s="3">
        <f t="shared" si="2"/>
        <v>-2.0408163265306121E-2</v>
      </c>
      <c r="J58" s="3">
        <f t="shared" si="3"/>
        <v>-3.5211305172587887E-3</v>
      </c>
      <c r="K58" s="3">
        <f t="shared" si="4"/>
        <v>0</v>
      </c>
      <c r="L58" s="3">
        <f t="shared" si="5"/>
        <v>-3.4965034965034995E-2</v>
      </c>
      <c r="M58" s="3">
        <f t="shared" si="6"/>
        <v>3.0888030888031603E-3</v>
      </c>
      <c r="N58" s="3">
        <f t="shared" si="7"/>
        <v>-1.055614395135315E-2</v>
      </c>
    </row>
    <row r="59" spans="1:14" x14ac:dyDescent="0.35">
      <c r="A59" s="1">
        <v>43739</v>
      </c>
      <c r="B59" s="3">
        <v>2.6020780000000001</v>
      </c>
      <c r="C59" s="3">
        <v>25.559999000000001</v>
      </c>
      <c r="D59" s="3">
        <v>2.7722769999999999</v>
      </c>
      <c r="E59" s="3">
        <v>1.37</v>
      </c>
      <c r="F59" s="3">
        <v>2.92</v>
      </c>
      <c r="G59" s="3">
        <v>26.8</v>
      </c>
      <c r="H59" s="3">
        <f t="shared" si="1"/>
        <v>3.7878159551187765E-3</v>
      </c>
      <c r="I59" s="3">
        <f t="shared" si="2"/>
        <v>6.4999958333333385E-2</v>
      </c>
      <c r="J59" s="3">
        <f t="shared" si="3"/>
        <v>-1.0600718063655E-2</v>
      </c>
      <c r="K59" s="3">
        <f t="shared" si="4"/>
        <v>0</v>
      </c>
      <c r="L59" s="3">
        <f t="shared" si="5"/>
        <v>5.7971014492753679E-2</v>
      </c>
      <c r="M59" s="3">
        <f t="shared" si="6"/>
        <v>3.1562740569668984E-2</v>
      </c>
      <c r="N59" s="3">
        <f t="shared" si="7"/>
        <v>2.4625059241579542E-2</v>
      </c>
    </row>
    <row r="60" spans="1:14" x14ac:dyDescent="0.35">
      <c r="A60" s="1">
        <v>43770</v>
      </c>
      <c r="B60" s="3">
        <v>2.6020780000000001</v>
      </c>
      <c r="C60" s="3">
        <v>26.5</v>
      </c>
      <c r="D60" s="3">
        <v>2.7029700000000001</v>
      </c>
      <c r="E60" s="3">
        <v>1.28</v>
      </c>
      <c r="F60" s="3">
        <v>2.86</v>
      </c>
      <c r="G60" s="3">
        <v>27.34</v>
      </c>
      <c r="H60" s="3">
        <f t="shared" si="1"/>
        <v>0</v>
      </c>
      <c r="I60" s="3">
        <f t="shared" si="2"/>
        <v>3.677625339500204E-2</v>
      </c>
      <c r="J60" s="3">
        <f t="shared" si="3"/>
        <v>-2.5000027053573574E-2</v>
      </c>
      <c r="K60" s="3">
        <f t="shared" si="4"/>
        <v>-6.5693430656934365E-2</v>
      </c>
      <c r="L60" s="3">
        <f t="shared" si="5"/>
        <v>-2.0547945205479472E-2</v>
      </c>
      <c r="M60" s="3">
        <f t="shared" si="6"/>
        <v>2.0149253731343252E-2</v>
      </c>
      <c r="N60" s="3">
        <f t="shared" si="7"/>
        <v>-9.0544598281333422E-3</v>
      </c>
    </row>
    <row r="61" spans="1:14" x14ac:dyDescent="0.35">
      <c r="A61" s="1">
        <v>43800</v>
      </c>
      <c r="B61" s="3">
        <v>2.533344</v>
      </c>
      <c r="C61" s="3">
        <v>27.120000999999998</v>
      </c>
      <c r="D61" s="3">
        <v>2.5445540000000002</v>
      </c>
      <c r="E61" s="3">
        <v>1.28</v>
      </c>
      <c r="F61" s="3">
        <v>3</v>
      </c>
      <c r="G61" s="3">
        <v>29.3</v>
      </c>
      <c r="H61" s="3">
        <f t="shared" si="1"/>
        <v>-2.6415042131711683E-2</v>
      </c>
      <c r="I61" s="3">
        <f t="shared" si="2"/>
        <v>2.3396264150943338E-2</v>
      </c>
      <c r="J61" s="3">
        <f t="shared" si="3"/>
        <v>-5.8608123656570324E-2</v>
      </c>
      <c r="K61" s="3">
        <f t="shared" si="4"/>
        <v>0</v>
      </c>
      <c r="L61" s="3">
        <f t="shared" si="5"/>
        <v>4.8951048951048994E-2</v>
      </c>
      <c r="M61" s="3">
        <f t="shared" si="6"/>
        <v>7.1689831748354096E-2</v>
      </c>
      <c r="N61" s="3">
        <f t="shared" si="7"/>
        <v>9.8376303096461386E-3</v>
      </c>
    </row>
    <row r="62" spans="1:14" x14ac:dyDescent="0.35">
      <c r="A62" s="1">
        <v>43831</v>
      </c>
      <c r="B62" s="3">
        <v>2.484248</v>
      </c>
      <c r="C62" s="3">
        <v>27.860001</v>
      </c>
      <c r="D62" s="3">
        <v>2.5247519999999999</v>
      </c>
      <c r="E62" s="3">
        <v>1.28</v>
      </c>
      <c r="F62" s="3">
        <v>2.75</v>
      </c>
      <c r="G62" s="3">
        <v>32.700000000000003</v>
      </c>
      <c r="H62" s="3">
        <f t="shared" si="1"/>
        <v>-1.9379918400343588E-2</v>
      </c>
      <c r="I62" s="3">
        <f t="shared" si="2"/>
        <v>2.7286134687089503E-2</v>
      </c>
      <c r="J62" s="3">
        <f t="shared" si="3"/>
        <v>-7.7821103423233772E-3</v>
      </c>
      <c r="K62" s="3">
        <f t="shared" si="4"/>
        <v>0</v>
      </c>
      <c r="L62" s="3">
        <f t="shared" si="5"/>
        <v>-8.3333333333333329E-2</v>
      </c>
      <c r="M62" s="3">
        <f t="shared" si="6"/>
        <v>0.11604095563139939</v>
      </c>
      <c r="N62" s="3">
        <f t="shared" si="7"/>
        <v>5.4730490980228527E-3</v>
      </c>
    </row>
    <row r="63" spans="1:14" x14ac:dyDescent="0.35">
      <c r="A63" s="1">
        <v>43862</v>
      </c>
      <c r="B63" s="3">
        <v>2.46461</v>
      </c>
      <c r="C63" s="3">
        <v>25.5</v>
      </c>
      <c r="D63" s="3">
        <v>2.3861379999999999</v>
      </c>
      <c r="E63" s="3">
        <v>1.28</v>
      </c>
      <c r="F63" s="3">
        <v>2.63</v>
      </c>
      <c r="G63" s="3">
        <v>31.84</v>
      </c>
      <c r="H63" s="3">
        <f t="shared" si="1"/>
        <v>-7.9050078736100596E-3</v>
      </c>
      <c r="I63" s="3">
        <f t="shared" si="2"/>
        <v>-8.4709293441877498E-2</v>
      </c>
      <c r="J63" s="3">
        <f t="shared" si="3"/>
        <v>-5.4902026020773535E-2</v>
      </c>
      <c r="K63" s="3">
        <f t="shared" si="4"/>
        <v>0</v>
      </c>
      <c r="L63" s="3">
        <f t="shared" si="5"/>
        <v>-4.3636363636363674E-2</v>
      </c>
      <c r="M63" s="3">
        <f t="shared" si="6"/>
        <v>-2.6299694189602537E-2</v>
      </c>
      <c r="N63" s="3">
        <f t="shared" si="7"/>
        <v>-3.6249312606543294E-2</v>
      </c>
    </row>
    <row r="64" spans="1:14" x14ac:dyDescent="0.35">
      <c r="A64" s="1">
        <v>43891</v>
      </c>
      <c r="B64" s="3">
        <v>2.2584070000000001</v>
      </c>
      <c r="C64" s="3">
        <v>21.879999000000002</v>
      </c>
      <c r="D64" s="3">
        <v>1.8811880000000001</v>
      </c>
      <c r="E64" s="3">
        <v>1.28</v>
      </c>
      <c r="F64" s="3">
        <v>1.9</v>
      </c>
      <c r="G64" s="3">
        <v>25.62</v>
      </c>
      <c r="H64" s="3">
        <f t="shared" si="1"/>
        <v>-8.366556980617619E-2</v>
      </c>
      <c r="I64" s="3">
        <f t="shared" si="2"/>
        <v>-0.14196082352941169</v>
      </c>
      <c r="J64" s="3">
        <f t="shared" si="3"/>
        <v>-0.21161810423370309</v>
      </c>
      <c r="K64" s="3">
        <f t="shared" si="4"/>
        <v>0</v>
      </c>
      <c r="L64" s="3">
        <f t="shared" si="5"/>
        <v>-0.27756653992395436</v>
      </c>
      <c r="M64" s="3">
        <f t="shared" si="6"/>
        <v>-0.19535175879396982</v>
      </c>
      <c r="N64" s="3">
        <f t="shared" si="7"/>
        <v>-0.15172413814107877</v>
      </c>
    </row>
    <row r="65" spans="1:14" x14ac:dyDescent="0.35">
      <c r="A65" s="1">
        <v>43922</v>
      </c>
      <c r="B65" s="3">
        <v>2.2780450000000001</v>
      </c>
      <c r="C65" s="3">
        <v>23.959999</v>
      </c>
      <c r="D65" s="3">
        <v>2.1782170000000001</v>
      </c>
      <c r="E65" s="3">
        <v>0.88</v>
      </c>
      <c r="F65" s="3">
        <v>2.2400000000000002</v>
      </c>
      <c r="G65" s="3">
        <v>27.6</v>
      </c>
      <c r="H65" s="3">
        <f t="shared" si="1"/>
        <v>8.6955097110485591E-3</v>
      </c>
      <c r="I65" s="3">
        <f t="shared" si="2"/>
        <v>9.506398971956069E-2</v>
      </c>
      <c r="J65" s="3">
        <f t="shared" si="3"/>
        <v>0.15789437313017093</v>
      </c>
      <c r="K65" s="3">
        <f t="shared" si="4"/>
        <v>-0.3125</v>
      </c>
      <c r="L65" s="3">
        <f t="shared" si="5"/>
        <v>0.1789473684210528</v>
      </c>
      <c r="M65" s="3">
        <f t="shared" si="6"/>
        <v>7.7283372365339595E-2</v>
      </c>
      <c r="N65" s="3">
        <f t="shared" si="7"/>
        <v>3.4237615044973663E-2</v>
      </c>
    </row>
    <row r="66" spans="1:14" x14ac:dyDescent="0.35">
      <c r="A66" s="1">
        <v>43952</v>
      </c>
      <c r="B66" s="3">
        <v>2.1602160000000001</v>
      </c>
      <c r="C66" s="3">
        <v>23.200001</v>
      </c>
      <c r="D66" s="3">
        <v>2.227722</v>
      </c>
      <c r="E66" s="3">
        <v>0.96</v>
      </c>
      <c r="F66" s="3">
        <v>2.19</v>
      </c>
      <c r="G66" s="3">
        <v>28.88</v>
      </c>
      <c r="H66" s="3">
        <f t="shared" si="1"/>
        <v>-5.1723736800633857E-2</v>
      </c>
      <c r="I66" s="3">
        <f t="shared" si="2"/>
        <v>-3.1719450405653167E-2</v>
      </c>
      <c r="J66" s="3">
        <f t="shared" si="3"/>
        <v>2.2727304028937387E-2</v>
      </c>
      <c r="K66" s="3">
        <f t="shared" si="4"/>
        <v>9.090909090909087E-2</v>
      </c>
      <c r="L66" s="3">
        <f t="shared" si="5"/>
        <v>-2.232142857142869E-2</v>
      </c>
      <c r="M66" s="3">
        <f t="shared" si="6"/>
        <v>4.6376811594202809E-2</v>
      </c>
      <c r="N66" s="3">
        <f t="shared" si="7"/>
        <v>9.043240078777711E-3</v>
      </c>
    </row>
    <row r="67" spans="1:14" x14ac:dyDescent="0.35">
      <c r="A67" s="1">
        <v>43983</v>
      </c>
      <c r="B67" s="3">
        <v>2.1602160000000001</v>
      </c>
      <c r="C67" s="3">
        <v>22.559999000000001</v>
      </c>
      <c r="D67" s="3">
        <v>2.1782170000000001</v>
      </c>
      <c r="E67" s="3">
        <v>0.99</v>
      </c>
      <c r="F67" s="3">
        <v>2.39</v>
      </c>
      <c r="G67" s="3">
        <v>25.48</v>
      </c>
      <c r="H67" s="3">
        <f t="shared" si="1"/>
        <v>0</v>
      </c>
      <c r="I67" s="3">
        <f t="shared" si="2"/>
        <v>-2.7586291914383929E-2</v>
      </c>
      <c r="J67" s="3">
        <f t="shared" si="3"/>
        <v>-2.2222252148158483E-2</v>
      </c>
      <c r="K67" s="3">
        <f t="shared" si="4"/>
        <v>3.1250000000000028E-2</v>
      </c>
      <c r="L67" s="3">
        <f t="shared" si="5"/>
        <v>9.1324200913242087E-2</v>
      </c>
      <c r="M67" s="3">
        <f t="shared" si="6"/>
        <v>-0.11772853185595564</v>
      </c>
      <c r="N67" s="3">
        <f t="shared" si="7"/>
        <v>-7.4953112633761657E-3</v>
      </c>
    </row>
    <row r="68" spans="1:14" x14ac:dyDescent="0.35">
      <c r="A68" s="1">
        <v>44013</v>
      </c>
      <c r="B68" s="3">
        <v>2.0620240000000001</v>
      </c>
      <c r="C68" s="3">
        <v>22.52</v>
      </c>
      <c r="D68" s="3">
        <v>2.1089099999999998</v>
      </c>
      <c r="E68" s="3">
        <v>0.99</v>
      </c>
      <c r="F68" s="3">
        <v>2.15</v>
      </c>
      <c r="G68" s="3">
        <v>25.2</v>
      </c>
      <c r="H68" s="3">
        <f t="shared" ref="H68:H97" si="8">(B68-B67)/B67</f>
        <v>-4.5454713787880498E-2</v>
      </c>
      <c r="I68" s="3">
        <f t="shared" ref="I68:I97" si="9">(C68-C67)/C67</f>
        <v>-1.773005397739675E-3</v>
      </c>
      <c r="J68" s="3">
        <f t="shared" ref="J68:J97" si="10">(D68-D67)/D67</f>
        <v>-3.1818225640512503E-2</v>
      </c>
      <c r="K68" s="3">
        <f t="shared" ref="K68:K97" si="11">(E68-E67)/E67</f>
        <v>0</v>
      </c>
      <c r="L68" s="3">
        <f t="shared" ref="L68:L97" si="12">(F68-F67)/F67</f>
        <v>-0.10041841004184109</v>
      </c>
      <c r="M68" s="3">
        <f t="shared" ref="M68:M97" si="13">(G68-G67)/G67</f>
        <v>-1.0989010989011033E-2</v>
      </c>
      <c r="N68" s="3">
        <f t="shared" ref="N68:N97" si="14">(16.67%*H68)+(16.67%*I68)+(16.67%*J68)+(16.67%*K68)+(16.67%*L68)+(16.67%*M68)</f>
        <v>-3.1748576088359369E-2</v>
      </c>
    </row>
    <row r="69" spans="1:14" x14ac:dyDescent="0.35">
      <c r="A69" s="1">
        <v>44044</v>
      </c>
      <c r="B69" s="3">
        <v>2.0522049999999998</v>
      </c>
      <c r="C69" s="3">
        <v>20.58</v>
      </c>
      <c r="D69" s="3">
        <v>2.2079200000000001</v>
      </c>
      <c r="E69" s="3">
        <v>0.89</v>
      </c>
      <c r="F69" s="3">
        <v>2.15</v>
      </c>
      <c r="G69" s="3">
        <v>21.82</v>
      </c>
      <c r="H69" s="3">
        <f t="shared" si="8"/>
        <v>-4.7618262445055168E-3</v>
      </c>
      <c r="I69" s="3">
        <f t="shared" si="9"/>
        <v>-8.6145648312611067E-2</v>
      </c>
      <c r="J69" s="3">
        <f t="shared" si="10"/>
        <v>4.6948423593230752E-2</v>
      </c>
      <c r="K69" s="3">
        <f t="shared" si="11"/>
        <v>-0.10101010101010099</v>
      </c>
      <c r="L69" s="3">
        <f t="shared" si="12"/>
        <v>0</v>
      </c>
      <c r="M69" s="3">
        <f t="shared" si="13"/>
        <v>-0.13412698412698409</v>
      </c>
      <c r="N69" s="3">
        <f t="shared" si="14"/>
        <v>-4.6525325888031856E-2</v>
      </c>
    </row>
    <row r="70" spans="1:14" x14ac:dyDescent="0.35">
      <c r="A70" s="1">
        <v>44075</v>
      </c>
      <c r="B70" s="3">
        <v>2.0330569999999999</v>
      </c>
      <c r="C70" s="3">
        <v>20.66</v>
      </c>
      <c r="D70" s="3">
        <v>2.1</v>
      </c>
      <c r="E70" s="3">
        <v>0.81</v>
      </c>
      <c r="F70" s="3">
        <v>1.96</v>
      </c>
      <c r="G70" s="3">
        <v>20.64</v>
      </c>
      <c r="H70" s="3">
        <f t="shared" si="8"/>
        <v>-9.3304518798073017E-3</v>
      </c>
      <c r="I70" s="3">
        <f t="shared" si="9"/>
        <v>3.8872691933917324E-3</v>
      </c>
      <c r="J70" s="3">
        <f t="shared" si="10"/>
        <v>-4.887858255733904E-2</v>
      </c>
      <c r="K70" s="3">
        <f t="shared" si="11"/>
        <v>-8.9887640449438158E-2</v>
      </c>
      <c r="L70" s="3">
        <f t="shared" si="12"/>
        <v>-8.8372093023255799E-2</v>
      </c>
      <c r="M70" s="3">
        <f t="shared" si="13"/>
        <v>-5.4078826764436282E-2</v>
      </c>
      <c r="N70" s="3">
        <f t="shared" si="14"/>
        <v>-4.7786276257663504E-2</v>
      </c>
    </row>
    <row r="71" spans="1:14" x14ac:dyDescent="0.35">
      <c r="A71" s="1">
        <v>44105</v>
      </c>
      <c r="B71" s="3">
        <v>1.8743799999999999</v>
      </c>
      <c r="C71" s="3">
        <v>17.98</v>
      </c>
      <c r="D71" s="3">
        <v>2</v>
      </c>
      <c r="E71" s="3">
        <v>0.73</v>
      </c>
      <c r="F71" s="3">
        <v>1.89</v>
      </c>
      <c r="G71" s="3">
        <v>18.46</v>
      </c>
      <c r="H71" s="3">
        <f t="shared" si="8"/>
        <v>-7.8048475768264222E-2</v>
      </c>
      <c r="I71" s="3">
        <f t="shared" si="9"/>
        <v>-0.1297192642787996</v>
      </c>
      <c r="J71" s="3">
        <f t="shared" si="10"/>
        <v>-4.7619047619047658E-2</v>
      </c>
      <c r="K71" s="3">
        <f t="shared" si="11"/>
        <v>-9.876543209876551E-2</v>
      </c>
      <c r="L71" s="3">
        <f t="shared" si="12"/>
        <v>-3.5714285714285747E-2</v>
      </c>
      <c r="M71" s="3">
        <f t="shared" si="13"/>
        <v>-0.10562015503875967</v>
      </c>
      <c r="N71" s="3">
        <f t="shared" si="14"/>
        <v>-8.2597626308337668E-2</v>
      </c>
    </row>
    <row r="72" spans="1:14" x14ac:dyDescent="0.35">
      <c r="A72" s="1">
        <v>44136</v>
      </c>
      <c r="B72" s="3">
        <v>2.1123959999999999</v>
      </c>
      <c r="C72" s="3">
        <v>20.780000999999999</v>
      </c>
      <c r="D72" s="3">
        <v>2.17</v>
      </c>
      <c r="E72" s="3">
        <v>0.97</v>
      </c>
      <c r="F72" s="3">
        <v>2.31</v>
      </c>
      <c r="G72" s="3">
        <v>19.62</v>
      </c>
      <c r="H72" s="3">
        <f t="shared" si="8"/>
        <v>0.12698385599504905</v>
      </c>
      <c r="I72" s="3">
        <f t="shared" si="9"/>
        <v>0.15572864293659611</v>
      </c>
      <c r="J72" s="3">
        <f t="shared" si="10"/>
        <v>8.4999999999999964E-2</v>
      </c>
      <c r="K72" s="3">
        <f t="shared" si="11"/>
        <v>0.32876712328767121</v>
      </c>
      <c r="L72" s="3">
        <f t="shared" si="12"/>
        <v>0.22222222222222232</v>
      </c>
      <c r="M72" s="3">
        <f t="shared" si="13"/>
        <v>6.2838569880823411E-2</v>
      </c>
      <c r="N72" s="3">
        <f t="shared" si="14"/>
        <v>0.16362278706753777</v>
      </c>
    </row>
    <row r="73" spans="1:14" x14ac:dyDescent="0.35">
      <c r="A73" s="1">
        <v>44166</v>
      </c>
      <c r="B73" s="3">
        <v>2.1718999999999999</v>
      </c>
      <c r="C73" s="3">
        <v>23.02</v>
      </c>
      <c r="D73" s="3">
        <v>2.2799999999999998</v>
      </c>
      <c r="E73" s="3">
        <v>1.04</v>
      </c>
      <c r="F73" s="3">
        <v>2.54</v>
      </c>
      <c r="G73" s="3">
        <v>23.24</v>
      </c>
      <c r="H73" s="3">
        <f t="shared" si="8"/>
        <v>2.8168960744102908E-2</v>
      </c>
      <c r="I73" s="3">
        <f t="shared" si="9"/>
        <v>0.10779590434090937</v>
      </c>
      <c r="J73" s="3">
        <f t="shared" si="10"/>
        <v>5.0691244239631283E-2</v>
      </c>
      <c r="K73" s="3">
        <f t="shared" si="11"/>
        <v>7.216494845360831E-2</v>
      </c>
      <c r="L73" s="3">
        <f t="shared" si="12"/>
        <v>9.9567099567099554E-2</v>
      </c>
      <c r="M73" s="3">
        <f t="shared" si="13"/>
        <v>0.18450560652395501</v>
      </c>
      <c r="N73" s="3">
        <f t="shared" si="14"/>
        <v>9.0500390437013384E-2</v>
      </c>
    </row>
    <row r="74" spans="1:14" x14ac:dyDescent="0.35">
      <c r="A74" s="1">
        <v>44197</v>
      </c>
      <c r="B74" s="3">
        <v>2.013223</v>
      </c>
      <c r="C74" s="3">
        <v>23.139999</v>
      </c>
      <c r="D74" s="3">
        <v>2.11</v>
      </c>
      <c r="E74" s="3">
        <v>0.95</v>
      </c>
      <c r="F74" s="3">
        <v>2.3199999999999998</v>
      </c>
      <c r="G74" s="3">
        <v>21.74</v>
      </c>
      <c r="H74" s="3">
        <f t="shared" si="8"/>
        <v>-7.3059072701321406E-2</v>
      </c>
      <c r="I74" s="3">
        <f t="shared" si="9"/>
        <v>5.2128149435273661E-3</v>
      </c>
      <c r="J74" s="3">
        <f t="shared" si="10"/>
        <v>-7.4561403508771912E-2</v>
      </c>
      <c r="K74" s="3">
        <f t="shared" si="11"/>
        <v>-8.6538461538461606E-2</v>
      </c>
      <c r="L74" s="3">
        <f t="shared" si="12"/>
        <v>-8.6614173228346539E-2</v>
      </c>
      <c r="M74" s="3">
        <f t="shared" si="13"/>
        <v>-6.4543889845094668E-2</v>
      </c>
      <c r="N74" s="3">
        <f t="shared" si="14"/>
        <v>-6.3363367785940761E-2</v>
      </c>
    </row>
    <row r="75" spans="1:14" x14ac:dyDescent="0.35">
      <c r="A75" s="1">
        <v>44228</v>
      </c>
      <c r="B75" s="3">
        <v>2.1024790000000002</v>
      </c>
      <c r="C75" s="3">
        <v>25.6</v>
      </c>
      <c r="D75" s="3">
        <v>2.19</v>
      </c>
      <c r="E75" s="3">
        <v>0.95</v>
      </c>
      <c r="F75" s="3">
        <v>2.73</v>
      </c>
      <c r="G75" s="3">
        <v>22.96</v>
      </c>
      <c r="H75" s="3">
        <f t="shared" si="8"/>
        <v>4.4334879941268418E-2</v>
      </c>
      <c r="I75" s="3">
        <f t="shared" si="9"/>
        <v>0.10630946872556053</v>
      </c>
      <c r="J75" s="3">
        <f t="shared" si="10"/>
        <v>3.7914691943128E-2</v>
      </c>
      <c r="K75" s="3">
        <f t="shared" si="11"/>
        <v>0</v>
      </c>
      <c r="L75" s="3">
        <f t="shared" si="12"/>
        <v>0.17672413793103456</v>
      </c>
      <c r="M75" s="3">
        <f t="shared" si="13"/>
        <v>5.6117755289788525E-2</v>
      </c>
      <c r="N75" s="3">
        <f t="shared" si="14"/>
        <v>7.0247535669591035E-2</v>
      </c>
    </row>
    <row r="76" spans="1:14" x14ac:dyDescent="0.35">
      <c r="A76" s="1">
        <v>44256</v>
      </c>
      <c r="B76" s="3">
        <v>2.0925609999999999</v>
      </c>
      <c r="C76" s="3">
        <v>25.799999</v>
      </c>
      <c r="D76" s="3">
        <v>2.2000000000000002</v>
      </c>
      <c r="E76" s="3">
        <v>1.35</v>
      </c>
      <c r="F76" s="3">
        <v>2.98</v>
      </c>
      <c r="G76" s="3">
        <v>23.76</v>
      </c>
      <c r="H76" s="3">
        <f t="shared" si="8"/>
        <v>-4.7172884961040346E-3</v>
      </c>
      <c r="I76" s="3">
        <f t="shared" si="9"/>
        <v>7.8124609374999321E-3</v>
      </c>
      <c r="J76" s="3">
        <f t="shared" si="10"/>
        <v>4.566210045662206E-3</v>
      </c>
      <c r="K76" s="3">
        <f t="shared" si="11"/>
        <v>0.42105263157894751</v>
      </c>
      <c r="L76" s="3">
        <f t="shared" si="12"/>
        <v>9.1575091575091569E-2</v>
      </c>
      <c r="M76" s="3">
        <f t="shared" si="13"/>
        <v>3.4843205574912925E-2</v>
      </c>
      <c r="N76" s="3">
        <f t="shared" si="14"/>
        <v>9.2540556279708891E-2</v>
      </c>
    </row>
    <row r="77" spans="1:14" x14ac:dyDescent="0.35">
      <c r="A77" s="1">
        <v>44287</v>
      </c>
      <c r="B77" s="3">
        <v>2.0231400000000002</v>
      </c>
      <c r="C77" s="3">
        <v>25.799999</v>
      </c>
      <c r="D77" s="3">
        <v>2.11</v>
      </c>
      <c r="E77" s="3">
        <v>1.24</v>
      </c>
      <c r="F77" s="3">
        <v>2.79</v>
      </c>
      <c r="G77" s="3">
        <v>22.88</v>
      </c>
      <c r="H77" s="3">
        <f t="shared" si="8"/>
        <v>-3.3175138024650053E-2</v>
      </c>
      <c r="I77" s="3">
        <f t="shared" si="9"/>
        <v>0</v>
      </c>
      <c r="J77" s="3">
        <f t="shared" si="10"/>
        <v>-4.0909090909091041E-2</v>
      </c>
      <c r="K77" s="3">
        <f t="shared" si="11"/>
        <v>-8.1481481481481544E-2</v>
      </c>
      <c r="L77" s="3">
        <f t="shared" si="12"/>
        <v>-6.3758389261744944E-2</v>
      </c>
      <c r="M77" s="3">
        <f t="shared" si="13"/>
        <v>-3.7037037037037139E-2</v>
      </c>
      <c r="N77" s="3">
        <f t="shared" si="14"/>
        <v>-4.2735401490224582E-2</v>
      </c>
    </row>
    <row r="78" spans="1:14" x14ac:dyDescent="0.35">
      <c r="A78" s="1">
        <v>44317</v>
      </c>
      <c r="B78" s="3">
        <v>1.9636359999999999</v>
      </c>
      <c r="C78" s="3">
        <v>23.42</v>
      </c>
      <c r="D78" s="3">
        <v>1.98</v>
      </c>
      <c r="E78" s="3">
        <v>1.19</v>
      </c>
      <c r="F78" s="3">
        <v>2.7</v>
      </c>
      <c r="G78" s="3">
        <v>22</v>
      </c>
      <c r="H78" s="3">
        <f t="shared" si="8"/>
        <v>-2.9411706555156944E-2</v>
      </c>
      <c r="I78" s="3">
        <f t="shared" si="9"/>
        <v>-9.2248026831318788E-2</v>
      </c>
      <c r="J78" s="3">
        <f t="shared" si="10"/>
        <v>-6.1611374407582895E-2</v>
      </c>
      <c r="K78" s="3">
        <f t="shared" si="11"/>
        <v>-4.0322580645161324E-2</v>
      </c>
      <c r="L78" s="3">
        <f t="shared" si="12"/>
        <v>-3.2258064516128983E-2</v>
      </c>
      <c r="M78" s="3">
        <f t="shared" si="13"/>
        <v>-3.8461538461538422E-2</v>
      </c>
      <c r="N78" s="3">
        <f t="shared" si="14"/>
        <v>-4.9062025679195126E-2</v>
      </c>
    </row>
    <row r="79" spans="1:14" x14ac:dyDescent="0.35">
      <c r="A79" s="1">
        <v>44348</v>
      </c>
      <c r="B79" s="3">
        <v>1.9636359999999999</v>
      </c>
      <c r="C79" s="3">
        <v>23.6</v>
      </c>
      <c r="D79" s="3">
        <v>1.98</v>
      </c>
      <c r="E79" s="3">
        <v>1.1499999999999999</v>
      </c>
      <c r="F79" s="3">
        <v>2.69</v>
      </c>
      <c r="G79" s="3">
        <v>22</v>
      </c>
      <c r="H79" s="3">
        <f t="shared" si="8"/>
        <v>0</v>
      </c>
      <c r="I79" s="3">
        <f t="shared" si="9"/>
        <v>7.6857386848847012E-3</v>
      </c>
      <c r="J79" s="3">
        <f t="shared" si="10"/>
        <v>0</v>
      </c>
      <c r="K79" s="3">
        <f t="shared" si="11"/>
        <v>-3.3613445378151294E-2</v>
      </c>
      <c r="L79" s="3">
        <f t="shared" si="12"/>
        <v>-3.7037037037037888E-3</v>
      </c>
      <c r="M79" s="3">
        <f t="shared" si="13"/>
        <v>0</v>
      </c>
      <c r="N79" s="3">
        <f t="shared" si="14"/>
        <v>-4.9395561131749628E-3</v>
      </c>
    </row>
    <row r="80" spans="1:14" x14ac:dyDescent="0.35">
      <c r="A80" s="1">
        <v>44378</v>
      </c>
      <c r="B80" s="3">
        <v>1.9338839999999999</v>
      </c>
      <c r="C80" s="3">
        <v>22.42</v>
      </c>
      <c r="D80" s="3">
        <v>1.98</v>
      </c>
      <c r="E80" s="3">
        <v>1.1399999999999999</v>
      </c>
      <c r="F80" s="3">
        <v>2.68</v>
      </c>
      <c r="G80" s="3">
        <v>21.22</v>
      </c>
      <c r="H80" s="3">
        <f t="shared" si="8"/>
        <v>-1.5151484287311907E-2</v>
      </c>
      <c r="I80" s="3">
        <f t="shared" si="9"/>
        <v>-4.9999999999999982E-2</v>
      </c>
      <c r="J80" s="3">
        <f t="shared" si="10"/>
        <v>0</v>
      </c>
      <c r="K80" s="3">
        <f t="shared" si="11"/>
        <v>-8.6956521739130523E-3</v>
      </c>
      <c r="L80" s="3">
        <f t="shared" si="12"/>
        <v>-3.7174721189590287E-3</v>
      </c>
      <c r="M80" s="3">
        <f t="shared" si="13"/>
        <v>-3.5454545454545509E-2</v>
      </c>
      <c r="N80" s="3">
        <f t="shared" si="14"/>
        <v>-1.8840292977589407E-2</v>
      </c>
    </row>
    <row r="81" spans="1:14" x14ac:dyDescent="0.35">
      <c r="A81" s="1">
        <v>44409</v>
      </c>
      <c r="B81" s="3">
        <v>1.9636359999999999</v>
      </c>
      <c r="C81" s="3">
        <v>22.799999</v>
      </c>
      <c r="D81" s="3">
        <v>2.0299999999999998</v>
      </c>
      <c r="E81" s="3">
        <v>1.26</v>
      </c>
      <c r="F81" s="3">
        <v>2.88</v>
      </c>
      <c r="G81" s="3">
        <v>22.4</v>
      </c>
      <c r="H81" s="3">
        <f t="shared" si="8"/>
        <v>1.5384583563440208E-2</v>
      </c>
      <c r="I81" s="3">
        <f t="shared" si="9"/>
        <v>1.6949107939339784E-2</v>
      </c>
      <c r="J81" s="3">
        <f t="shared" si="10"/>
        <v>2.5252525252525162E-2</v>
      </c>
      <c r="K81" s="3">
        <f t="shared" si="11"/>
        <v>0.10526315789473695</v>
      </c>
      <c r="L81" s="3">
        <f t="shared" si="12"/>
        <v>7.4626865671641687E-2</v>
      </c>
      <c r="M81" s="3">
        <f t="shared" si="13"/>
        <v>5.5607917059377933E-2</v>
      </c>
      <c r="N81" s="3">
        <f t="shared" si="14"/>
        <v>4.8857129035422997E-2</v>
      </c>
    </row>
    <row r="82" spans="1:14" x14ac:dyDescent="0.35">
      <c r="A82" s="1">
        <v>44440</v>
      </c>
      <c r="B82" s="3">
        <v>2.0330569999999999</v>
      </c>
      <c r="C82" s="3">
        <v>23.1</v>
      </c>
      <c r="D82" s="3">
        <v>2.04</v>
      </c>
      <c r="E82" s="3">
        <v>1.1499999999999999</v>
      </c>
      <c r="F82" s="3">
        <v>2.91</v>
      </c>
      <c r="G82" s="3">
        <v>22.4</v>
      </c>
      <c r="H82" s="3">
        <f t="shared" si="8"/>
        <v>3.5353293583943235E-2</v>
      </c>
      <c r="I82" s="3">
        <f t="shared" si="9"/>
        <v>1.31579391735939E-2</v>
      </c>
      <c r="J82" s="3">
        <f t="shared" si="10"/>
        <v>4.926108374384351E-3</v>
      </c>
      <c r="K82" s="3">
        <f t="shared" si="11"/>
        <v>-8.730158730158738E-2</v>
      </c>
      <c r="L82" s="3">
        <f t="shared" si="12"/>
        <v>1.0416666666666753E-2</v>
      </c>
      <c r="M82" s="3">
        <f t="shared" si="13"/>
        <v>0</v>
      </c>
      <c r="N82" s="3">
        <f t="shared" si="14"/>
        <v>-3.9087115031499588E-3</v>
      </c>
    </row>
    <row r="83" spans="1:14" x14ac:dyDescent="0.35">
      <c r="A83" s="1">
        <v>44470</v>
      </c>
      <c r="B83" s="3">
        <v>2.0628090000000001</v>
      </c>
      <c r="C83" s="3">
        <v>23</v>
      </c>
      <c r="D83" s="3">
        <v>2.16</v>
      </c>
      <c r="E83" s="3">
        <v>1.24</v>
      </c>
      <c r="F83" s="3">
        <v>3.07</v>
      </c>
      <c r="G83" s="3">
        <v>22.18</v>
      </c>
      <c r="H83" s="3">
        <f t="shared" si="8"/>
        <v>1.4634119948432446E-2</v>
      </c>
      <c r="I83" s="3">
        <f t="shared" si="9"/>
        <v>-4.3290043290043906E-3</v>
      </c>
      <c r="J83" s="3">
        <f t="shared" si="10"/>
        <v>5.8823529411764754E-2</v>
      </c>
      <c r="K83" s="3">
        <f t="shared" si="11"/>
        <v>7.8260869565217467E-2</v>
      </c>
      <c r="L83" s="3">
        <f t="shared" si="12"/>
        <v>5.4982817869415702E-2</v>
      </c>
      <c r="M83" s="3">
        <f t="shared" si="13"/>
        <v>-9.8214285714285209E-3</v>
      </c>
      <c r="N83" s="3">
        <f t="shared" si="14"/>
        <v>3.2098235679196063E-2</v>
      </c>
    </row>
    <row r="84" spans="1:14" x14ac:dyDescent="0.35">
      <c r="A84" s="1">
        <v>44501</v>
      </c>
      <c r="B84" s="3">
        <v>1.8743799999999999</v>
      </c>
      <c r="C84" s="3">
        <v>21.139999</v>
      </c>
      <c r="D84" s="3">
        <v>1.88</v>
      </c>
      <c r="E84" s="3">
        <v>1.05</v>
      </c>
      <c r="F84" s="3">
        <v>2.69</v>
      </c>
      <c r="G84" s="3">
        <v>20.079999999999998</v>
      </c>
      <c r="H84" s="3">
        <f t="shared" si="8"/>
        <v>-9.1345829885365132E-2</v>
      </c>
      <c r="I84" s="3">
        <f t="shared" si="9"/>
        <v>-8.0869608695652198E-2</v>
      </c>
      <c r="J84" s="3">
        <f t="shared" si="10"/>
        <v>-0.12962962962962973</v>
      </c>
      <c r="K84" s="3">
        <f t="shared" si="11"/>
        <v>-0.15322580645161285</v>
      </c>
      <c r="L84" s="3">
        <f t="shared" si="12"/>
        <v>-0.12377850162866447</v>
      </c>
      <c r="M84" s="3">
        <f t="shared" si="13"/>
        <v>-9.4679891794409443E-2</v>
      </c>
      <c r="N84" s="3">
        <f t="shared" si="14"/>
        <v>-0.11227732898982516</v>
      </c>
    </row>
    <row r="85" spans="1:14" x14ac:dyDescent="0.35">
      <c r="A85" s="1">
        <v>44531</v>
      </c>
      <c r="B85" s="3">
        <v>1.8842970000000001</v>
      </c>
      <c r="C85" s="3">
        <v>20.84</v>
      </c>
      <c r="D85" s="3">
        <v>1.9</v>
      </c>
      <c r="E85" s="3">
        <v>1.0900000000000001</v>
      </c>
      <c r="F85" s="3">
        <v>2.79</v>
      </c>
      <c r="G85" s="3">
        <v>20.079999999999998</v>
      </c>
      <c r="H85" s="3">
        <f t="shared" si="8"/>
        <v>5.2908161632113961E-3</v>
      </c>
      <c r="I85" s="3">
        <f t="shared" si="9"/>
        <v>-1.4191060273938504E-2</v>
      </c>
      <c r="J85" s="3">
        <f t="shared" si="10"/>
        <v>1.0638297872340436E-2</v>
      </c>
      <c r="K85" s="3">
        <f t="shared" si="11"/>
        <v>3.8095238095238126E-2</v>
      </c>
      <c r="L85" s="3">
        <f t="shared" si="12"/>
        <v>3.7174721189591114E-2</v>
      </c>
      <c r="M85" s="3">
        <f t="shared" si="13"/>
        <v>0</v>
      </c>
      <c r="N85" s="3">
        <f t="shared" si="14"/>
        <v>1.2837235774841978E-2</v>
      </c>
    </row>
    <row r="86" spans="1:14" x14ac:dyDescent="0.35">
      <c r="A86" s="1">
        <v>44562</v>
      </c>
      <c r="B86" s="3">
        <v>1.8842970000000001</v>
      </c>
      <c r="C86" s="3">
        <v>20.459999</v>
      </c>
      <c r="D86" s="3">
        <v>1.88</v>
      </c>
      <c r="E86" s="3">
        <v>1.01</v>
      </c>
      <c r="F86" s="3">
        <v>2.65</v>
      </c>
      <c r="G86" s="3">
        <v>20.079999999999998</v>
      </c>
      <c r="H86" s="3">
        <f t="shared" si="8"/>
        <v>0</v>
      </c>
      <c r="I86" s="3">
        <f t="shared" si="9"/>
        <v>-1.823421305182342E-2</v>
      </c>
      <c r="J86" s="3">
        <f t="shared" si="10"/>
        <v>-1.0526315789473694E-2</v>
      </c>
      <c r="K86" s="3">
        <f t="shared" si="11"/>
        <v>-7.3394495412844096E-2</v>
      </c>
      <c r="L86" s="3">
        <f t="shared" si="12"/>
        <v>-5.0179211469534094E-2</v>
      </c>
      <c r="M86" s="3">
        <f t="shared" si="13"/>
        <v>0</v>
      </c>
      <c r="N86" s="3">
        <f t="shared" si="14"/>
        <v>-2.5394117095136677E-2</v>
      </c>
    </row>
    <row r="87" spans="1:14" x14ac:dyDescent="0.35">
      <c r="A87" s="1">
        <v>44593</v>
      </c>
      <c r="B87" s="3">
        <v>1.8942140000000001</v>
      </c>
      <c r="C87" s="3">
        <v>22.059999000000001</v>
      </c>
      <c r="D87" s="3">
        <v>1.89</v>
      </c>
      <c r="E87" s="3">
        <v>1.01</v>
      </c>
      <c r="F87" s="3">
        <v>2.9</v>
      </c>
      <c r="G87" s="3">
        <v>20.66</v>
      </c>
      <c r="H87" s="3">
        <f t="shared" si="8"/>
        <v>5.2629707524875077E-3</v>
      </c>
      <c r="I87" s="3">
        <f t="shared" si="9"/>
        <v>7.8201372346108203E-2</v>
      </c>
      <c r="J87" s="3">
        <f t="shared" si="10"/>
        <v>5.3191489361702178E-3</v>
      </c>
      <c r="K87" s="3">
        <f t="shared" si="11"/>
        <v>0</v>
      </c>
      <c r="L87" s="3">
        <f t="shared" si="12"/>
        <v>9.4339622641509441E-2</v>
      </c>
      <c r="M87" s="3">
        <f t="shared" si="13"/>
        <v>2.8884462151394518E-2</v>
      </c>
      <c r="N87" s="3">
        <f t="shared" si="14"/>
        <v>3.5341663057172575E-2</v>
      </c>
    </row>
    <row r="88" spans="1:14" x14ac:dyDescent="0.35">
      <c r="A88" s="1">
        <v>44621</v>
      </c>
      <c r="B88" s="3">
        <v>1.9041319999999999</v>
      </c>
      <c r="C88" s="3">
        <v>22.48</v>
      </c>
      <c r="D88" s="3">
        <v>1.82</v>
      </c>
      <c r="E88" s="3">
        <v>1.04</v>
      </c>
      <c r="F88" s="3">
        <v>2.98</v>
      </c>
      <c r="G88" s="3">
        <v>22.08</v>
      </c>
      <c r="H88" s="3">
        <f t="shared" si="8"/>
        <v>5.2359448298871566E-3</v>
      </c>
      <c r="I88" s="3">
        <f t="shared" si="9"/>
        <v>1.9039030781461012E-2</v>
      </c>
      <c r="J88" s="3">
        <f t="shared" si="10"/>
        <v>-3.7037037037036952E-2</v>
      </c>
      <c r="K88" s="3">
        <f t="shared" si="11"/>
        <v>2.9702970297029729E-2</v>
      </c>
      <c r="L88" s="3">
        <f t="shared" si="12"/>
        <v>2.7586206896551748E-2</v>
      </c>
      <c r="M88" s="3">
        <f t="shared" si="13"/>
        <v>6.8731848983542995E-2</v>
      </c>
      <c r="N88" s="3">
        <f t="shared" si="14"/>
        <v>1.888026942406433E-2</v>
      </c>
    </row>
    <row r="89" spans="1:14" x14ac:dyDescent="0.35">
      <c r="A89" s="1">
        <v>44652</v>
      </c>
      <c r="B89" s="3">
        <v>1.9140489999999999</v>
      </c>
      <c r="C89" s="3">
        <v>23.700001</v>
      </c>
      <c r="D89" s="3">
        <v>1.81</v>
      </c>
      <c r="E89" s="3">
        <v>1.0900000000000001</v>
      </c>
      <c r="F89" s="3">
        <v>3.05</v>
      </c>
      <c r="G89" s="3">
        <v>22.14</v>
      </c>
      <c r="H89" s="3">
        <f t="shared" si="8"/>
        <v>5.2081473343234368E-3</v>
      </c>
      <c r="I89" s="3">
        <f t="shared" si="9"/>
        <v>5.4270507117437715E-2</v>
      </c>
      <c r="J89" s="3">
        <f t="shared" si="10"/>
        <v>-5.4945054945054993E-3</v>
      </c>
      <c r="K89" s="3">
        <f t="shared" si="11"/>
        <v>4.8076923076923121E-2</v>
      </c>
      <c r="L89" s="3">
        <f t="shared" si="12"/>
        <v>2.3489932885905986E-2</v>
      </c>
      <c r="M89" s="3">
        <f t="shared" si="13"/>
        <v>2.7173913043479292E-3</v>
      </c>
      <c r="N89" s="3">
        <f t="shared" si="14"/>
        <v>2.1382341650612927E-2</v>
      </c>
    </row>
    <row r="90" spans="1:14" x14ac:dyDescent="0.35">
      <c r="A90" s="1">
        <v>44682</v>
      </c>
      <c r="B90" s="3">
        <v>1.8942140000000001</v>
      </c>
      <c r="C90" s="3">
        <v>24.84</v>
      </c>
      <c r="D90" s="3">
        <v>1.75</v>
      </c>
      <c r="E90" s="3">
        <v>1.04</v>
      </c>
      <c r="F90" s="3">
        <v>3</v>
      </c>
      <c r="G90" s="3">
        <v>22.5</v>
      </c>
      <c r="H90" s="3">
        <f t="shared" si="8"/>
        <v>-1.0362848600009626E-2</v>
      </c>
      <c r="I90" s="3">
        <f t="shared" si="9"/>
        <v>4.8101221599104557E-2</v>
      </c>
      <c r="J90" s="3">
        <f t="shared" si="10"/>
        <v>-3.3149171270718258E-2</v>
      </c>
      <c r="K90" s="3">
        <f t="shared" si="11"/>
        <v>-4.587155963302756E-2</v>
      </c>
      <c r="L90" s="3">
        <f t="shared" si="12"/>
        <v>-1.6393442622950762E-2</v>
      </c>
      <c r="M90" s="3">
        <f t="shared" si="13"/>
        <v>1.626016260162599E-2</v>
      </c>
      <c r="N90" s="3">
        <f t="shared" si="14"/>
        <v>-6.9039868422601444E-3</v>
      </c>
    </row>
    <row r="91" spans="1:14" x14ac:dyDescent="0.35">
      <c r="A91" s="1">
        <v>44713</v>
      </c>
      <c r="B91" s="3">
        <v>1.8148759999999999</v>
      </c>
      <c r="C91" s="3">
        <v>23.02</v>
      </c>
      <c r="D91" s="3">
        <v>1.67</v>
      </c>
      <c r="E91" s="3">
        <v>1.02</v>
      </c>
      <c r="F91" s="3">
        <v>2.84</v>
      </c>
      <c r="G91" s="3">
        <v>22.4</v>
      </c>
      <c r="H91" s="3">
        <f t="shared" si="8"/>
        <v>-4.1884391098365933E-2</v>
      </c>
      <c r="I91" s="3">
        <f t="shared" si="9"/>
        <v>-7.3268921095008058E-2</v>
      </c>
      <c r="J91" s="3">
        <f t="shared" si="10"/>
        <v>-4.5714285714285756E-2</v>
      </c>
      <c r="K91" s="3">
        <f t="shared" si="11"/>
        <v>-1.9230769230769246E-2</v>
      </c>
      <c r="L91" s="3">
        <f t="shared" si="12"/>
        <v>-5.3333333333333378E-2</v>
      </c>
      <c r="M91" s="3">
        <f t="shared" si="13"/>
        <v>-4.4444444444445078E-3</v>
      </c>
      <c r="N91" s="3">
        <f t="shared" si="14"/>
        <v>-3.965395335753169E-2</v>
      </c>
    </row>
    <row r="92" spans="1:14" x14ac:dyDescent="0.35">
      <c r="A92" s="1">
        <v>44743</v>
      </c>
      <c r="B92" s="3">
        <v>1.8446279999999999</v>
      </c>
      <c r="C92" s="3">
        <v>22.700001</v>
      </c>
      <c r="D92" s="3">
        <v>1.66</v>
      </c>
      <c r="E92" s="3">
        <v>1.01</v>
      </c>
      <c r="F92" s="3">
        <v>2.92</v>
      </c>
      <c r="G92" s="3">
        <v>22.52</v>
      </c>
      <c r="H92" s="3">
        <f t="shared" si="8"/>
        <v>1.639340649168318E-2</v>
      </c>
      <c r="I92" s="3">
        <f t="shared" si="9"/>
        <v>-1.390091225021717E-2</v>
      </c>
      <c r="J92" s="3">
        <f t="shared" si="10"/>
        <v>-5.988023952095814E-3</v>
      </c>
      <c r="K92" s="3">
        <f t="shared" si="11"/>
        <v>-9.8039215686274595E-3</v>
      </c>
      <c r="L92" s="3">
        <f t="shared" si="12"/>
        <v>2.8169014084507067E-2</v>
      </c>
      <c r="M92" s="3">
        <f t="shared" si="13"/>
        <v>5.3571428571429023E-3</v>
      </c>
      <c r="N92" s="3">
        <f t="shared" si="14"/>
        <v>3.3717918339208645E-3</v>
      </c>
    </row>
    <row r="93" spans="1:14" x14ac:dyDescent="0.35">
      <c r="A93" s="1">
        <v>44774</v>
      </c>
      <c r="B93" s="3">
        <v>1.7950410000000001</v>
      </c>
      <c r="C93" s="3">
        <v>23.58</v>
      </c>
      <c r="D93" s="3">
        <v>1.63</v>
      </c>
      <c r="E93" s="3">
        <v>1.1100000000000001</v>
      </c>
      <c r="F93" s="3">
        <v>2.99</v>
      </c>
      <c r="G93" s="3">
        <v>23.58</v>
      </c>
      <c r="H93" s="3">
        <f t="shared" si="8"/>
        <v>-2.6881842843109738E-2</v>
      </c>
      <c r="I93" s="3">
        <f t="shared" si="9"/>
        <v>3.8766474063150834E-2</v>
      </c>
      <c r="J93" s="3">
        <f t="shared" si="10"/>
        <v>-1.8072289156626523E-2</v>
      </c>
      <c r="K93" s="3">
        <f t="shared" si="11"/>
        <v>9.9009900990099098E-2</v>
      </c>
      <c r="L93" s="3">
        <f t="shared" si="12"/>
        <v>2.3972602739726127E-2</v>
      </c>
      <c r="M93" s="3">
        <f t="shared" si="13"/>
        <v>4.7069271758436892E-2</v>
      </c>
      <c r="N93" s="3">
        <f t="shared" si="14"/>
        <v>2.7316148395864503E-2</v>
      </c>
    </row>
    <row r="94" spans="1:14" x14ac:dyDescent="0.35">
      <c r="A94" s="1">
        <v>44805</v>
      </c>
      <c r="B94" s="3">
        <v>1.7454540000000001</v>
      </c>
      <c r="C94" s="3">
        <v>23.879999000000002</v>
      </c>
      <c r="D94" s="3">
        <v>1.42</v>
      </c>
      <c r="E94" s="3">
        <v>0.7</v>
      </c>
      <c r="F94" s="3">
        <v>2.79</v>
      </c>
      <c r="G94" s="3">
        <v>22.5</v>
      </c>
      <c r="H94" s="3">
        <f t="shared" si="8"/>
        <v>-2.7624438661846745E-2</v>
      </c>
      <c r="I94" s="3">
        <f t="shared" si="9"/>
        <v>1.2722603901611673E-2</v>
      </c>
      <c r="J94" s="3">
        <f t="shared" si="10"/>
        <v>-0.12883435582822084</v>
      </c>
      <c r="K94" s="3">
        <f t="shared" si="11"/>
        <v>-0.36936936936936948</v>
      </c>
      <c r="L94" s="3">
        <f t="shared" si="12"/>
        <v>-6.6889632107023464E-2</v>
      </c>
      <c r="M94" s="3">
        <f t="shared" si="13"/>
        <v>-4.5801526717557182E-2</v>
      </c>
      <c r="N94" s="3">
        <f t="shared" si="14"/>
        <v>-0.10432031302102709</v>
      </c>
    </row>
    <row r="95" spans="1:14" x14ac:dyDescent="0.35">
      <c r="A95" s="1">
        <v>44835</v>
      </c>
      <c r="B95" s="3">
        <v>1.81</v>
      </c>
      <c r="C95" s="3">
        <v>23.1</v>
      </c>
      <c r="D95" s="3">
        <v>1.57</v>
      </c>
      <c r="E95" s="3">
        <v>0.7</v>
      </c>
      <c r="F95" s="3">
        <v>2.74</v>
      </c>
      <c r="G95" s="3">
        <v>22.299999</v>
      </c>
      <c r="H95" s="3">
        <f t="shared" si="8"/>
        <v>3.697949072275751E-2</v>
      </c>
      <c r="I95" s="3">
        <f t="shared" si="9"/>
        <v>-3.2663276074676555E-2</v>
      </c>
      <c r="J95" s="3">
        <f t="shared" si="10"/>
        <v>0.1056338028169015</v>
      </c>
      <c r="K95" s="3">
        <f t="shared" si="11"/>
        <v>0</v>
      </c>
      <c r="L95" s="3">
        <f t="shared" si="12"/>
        <v>-1.7921146953404955E-2</v>
      </c>
      <c r="M95" s="3">
        <f t="shared" si="13"/>
        <v>-8.8889333333333469E-3</v>
      </c>
      <c r="N95" s="3">
        <f t="shared" si="14"/>
        <v>1.3859427527613303E-2</v>
      </c>
    </row>
    <row r="96" spans="1:14" x14ac:dyDescent="0.35">
      <c r="A96" s="1">
        <v>44866</v>
      </c>
      <c r="B96" s="3">
        <v>1.66</v>
      </c>
      <c r="C96" s="3">
        <v>25</v>
      </c>
      <c r="D96" s="3">
        <v>1.34</v>
      </c>
      <c r="E96" s="3">
        <v>0.88</v>
      </c>
      <c r="F96" s="3">
        <v>2.67</v>
      </c>
      <c r="G96" s="3">
        <v>22.799999</v>
      </c>
      <c r="H96" s="3">
        <f t="shared" si="8"/>
        <v>-8.2872928176795646E-2</v>
      </c>
      <c r="I96" s="3">
        <f t="shared" si="9"/>
        <v>8.2251082251082186E-2</v>
      </c>
      <c r="J96" s="3">
        <f t="shared" si="10"/>
        <v>-0.1464968152866242</v>
      </c>
      <c r="K96" s="3">
        <f t="shared" si="11"/>
        <v>0.25714285714285723</v>
      </c>
      <c r="L96" s="3">
        <f t="shared" si="12"/>
        <v>-2.5547445255474553E-2</v>
      </c>
      <c r="M96" s="3">
        <f t="shared" si="13"/>
        <v>2.2421525669126714E-2</v>
      </c>
      <c r="N96" s="3">
        <f t="shared" si="14"/>
        <v>1.7819942666573434E-2</v>
      </c>
    </row>
    <row r="97" spans="1:14" x14ac:dyDescent="0.35">
      <c r="A97" s="1">
        <v>44896</v>
      </c>
      <c r="B97" s="3">
        <v>1.62</v>
      </c>
      <c r="C97" s="3">
        <v>25.200001</v>
      </c>
      <c r="D97" s="3">
        <v>1.29</v>
      </c>
      <c r="E97" s="3">
        <v>0.88</v>
      </c>
      <c r="F97" s="3">
        <v>2.69</v>
      </c>
      <c r="G97" s="3">
        <v>22.879999000000002</v>
      </c>
      <c r="H97" s="3">
        <f t="shared" si="8"/>
        <v>-2.4096385542168565E-2</v>
      </c>
      <c r="I97" s="3">
        <f t="shared" si="9"/>
        <v>8.0000400000000121E-3</v>
      </c>
      <c r="J97" s="3">
        <f t="shared" si="10"/>
        <v>-3.7313432835820927E-2</v>
      </c>
      <c r="K97" s="3">
        <f t="shared" si="11"/>
        <v>0</v>
      </c>
      <c r="L97" s="3">
        <f t="shared" si="12"/>
        <v>7.4906367041198572E-3</v>
      </c>
      <c r="M97" s="3">
        <f t="shared" si="13"/>
        <v>3.5087720837181551E-3</v>
      </c>
      <c r="N97" s="3">
        <f t="shared" si="14"/>
        <v>-7.0698086106782496E-3</v>
      </c>
    </row>
    <row r="98" spans="1:14" x14ac:dyDescent="0.35">
      <c r="B98" s="2"/>
      <c r="C98" s="2"/>
      <c r="D98" s="2"/>
      <c r="E98" s="2"/>
      <c r="F98" s="2"/>
      <c r="G98" s="2"/>
      <c r="H9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71823-7DDD-4BE1-BEB8-BB64D5A548F8}">
  <dimension ref="A1:C97"/>
  <sheetViews>
    <sheetView workbookViewId="0">
      <selection activeCell="C3" sqref="C3:C97"/>
    </sheetView>
  </sheetViews>
  <sheetFormatPr defaultRowHeight="14.5" x14ac:dyDescent="0.35"/>
  <cols>
    <col min="1" max="1" width="11.90625" customWidth="1"/>
  </cols>
  <sheetData>
    <row r="1" spans="1:3" x14ac:dyDescent="0.35">
      <c r="A1" t="s">
        <v>0</v>
      </c>
      <c r="B1" t="s">
        <v>7</v>
      </c>
      <c r="C1" t="s">
        <v>17</v>
      </c>
    </row>
    <row r="2" spans="1:3" x14ac:dyDescent="0.35">
      <c r="A2" s="1">
        <v>42005</v>
      </c>
      <c r="B2">
        <v>974.8</v>
      </c>
    </row>
    <row r="3" spans="1:3" x14ac:dyDescent="0.35">
      <c r="A3" s="1">
        <v>42036</v>
      </c>
      <c r="B3">
        <v>1010</v>
      </c>
      <c r="C3" s="5">
        <f>(B3-B2)/B2</f>
        <v>3.610997127615926E-2</v>
      </c>
    </row>
    <row r="4" spans="1:3" x14ac:dyDescent="0.35">
      <c r="A4" s="1">
        <v>42064</v>
      </c>
      <c r="B4">
        <v>1011.8</v>
      </c>
      <c r="C4" s="5">
        <f t="shared" ref="C4:C67" si="0">(B4-B3)/B3</f>
        <v>1.7821782178217371E-3</v>
      </c>
    </row>
    <row r="5" spans="1:3" x14ac:dyDescent="0.35">
      <c r="A5" s="1">
        <v>42095</v>
      </c>
      <c r="B5">
        <v>999.5</v>
      </c>
      <c r="C5" s="5">
        <f t="shared" si="0"/>
        <v>-1.2156552678394895E-2</v>
      </c>
    </row>
    <row r="6" spans="1:3" x14ac:dyDescent="0.35">
      <c r="A6" s="1">
        <v>42125</v>
      </c>
      <c r="B6">
        <v>964.3</v>
      </c>
      <c r="C6" s="5">
        <f t="shared" si="0"/>
        <v>-3.5217608804402244E-2</v>
      </c>
    </row>
    <row r="7" spans="1:3" x14ac:dyDescent="0.35">
      <c r="A7" s="1">
        <v>42156</v>
      </c>
      <c r="B7">
        <v>932.9</v>
      </c>
      <c r="C7" s="5">
        <f t="shared" si="0"/>
        <v>-3.2562480555843598E-2</v>
      </c>
    </row>
    <row r="8" spans="1:3" x14ac:dyDescent="0.35">
      <c r="A8" s="1">
        <v>42186</v>
      </c>
      <c r="B8">
        <v>929.3</v>
      </c>
      <c r="C8" s="5">
        <f t="shared" si="0"/>
        <v>-3.8589345053060592E-3</v>
      </c>
    </row>
    <row r="9" spans="1:3" x14ac:dyDescent="0.35">
      <c r="A9" s="1">
        <v>42217</v>
      </c>
      <c r="B9">
        <v>877.2</v>
      </c>
      <c r="C9" s="5">
        <f t="shared" si="0"/>
        <v>-5.6063703863122684E-2</v>
      </c>
    </row>
    <row r="10" spans="1:3" x14ac:dyDescent="0.35">
      <c r="A10" s="1">
        <v>42248</v>
      </c>
      <c r="B10">
        <v>887.8</v>
      </c>
      <c r="C10" s="5">
        <f t="shared" si="0"/>
        <v>1.2083903328773266E-2</v>
      </c>
    </row>
    <row r="11" spans="1:3" x14ac:dyDescent="0.35">
      <c r="A11" s="1">
        <v>42278</v>
      </c>
      <c r="B11">
        <v>906.1</v>
      </c>
      <c r="C11" s="5">
        <f t="shared" si="0"/>
        <v>2.0612750619508978E-2</v>
      </c>
    </row>
    <row r="12" spans="1:3" x14ac:dyDescent="0.35">
      <c r="A12" s="1">
        <v>42309</v>
      </c>
      <c r="B12">
        <v>915.4</v>
      </c>
      <c r="C12" s="5">
        <f t="shared" si="0"/>
        <v>1.0263767796048951E-2</v>
      </c>
    </row>
    <row r="13" spans="1:3" x14ac:dyDescent="0.35">
      <c r="A13" s="1">
        <v>42339</v>
      </c>
      <c r="B13">
        <v>933.2</v>
      </c>
      <c r="C13" s="5">
        <f t="shared" si="0"/>
        <v>1.9445051343674972E-2</v>
      </c>
    </row>
    <row r="14" spans="1:3" x14ac:dyDescent="0.35">
      <c r="A14" s="1">
        <v>42370</v>
      </c>
      <c r="B14">
        <v>906.3</v>
      </c>
      <c r="C14" s="5">
        <f t="shared" si="0"/>
        <v>-2.8825546506643901E-2</v>
      </c>
    </row>
    <row r="15" spans="1:3" x14ac:dyDescent="0.35">
      <c r="A15" s="1">
        <v>42401</v>
      </c>
      <c r="B15">
        <v>904.2</v>
      </c>
      <c r="C15" s="5">
        <f t="shared" si="0"/>
        <v>-2.3171135385632894E-3</v>
      </c>
    </row>
    <row r="16" spans="1:3" x14ac:dyDescent="0.35">
      <c r="A16" s="1">
        <v>42430</v>
      </c>
      <c r="B16">
        <v>932.8</v>
      </c>
      <c r="C16" s="5">
        <f t="shared" si="0"/>
        <v>3.1630170316301602E-2</v>
      </c>
    </row>
    <row r="17" spans="1:3" x14ac:dyDescent="0.35">
      <c r="A17" s="1">
        <v>42461</v>
      </c>
      <c r="B17">
        <v>912.8</v>
      </c>
      <c r="C17" s="5">
        <f t="shared" si="0"/>
        <v>-2.1440823327615783E-2</v>
      </c>
    </row>
    <row r="18" spans="1:3" x14ac:dyDescent="0.35">
      <c r="A18" s="1">
        <v>42491</v>
      </c>
      <c r="B18">
        <v>886.2</v>
      </c>
      <c r="C18" s="5">
        <f t="shared" si="0"/>
        <v>-2.9141104294478429E-2</v>
      </c>
    </row>
    <row r="19" spans="1:3" x14ac:dyDescent="0.35">
      <c r="A19" s="1">
        <v>42522</v>
      </c>
      <c r="B19">
        <v>898.8</v>
      </c>
      <c r="C19" s="5">
        <f t="shared" si="0"/>
        <v>1.4218009478672883E-2</v>
      </c>
    </row>
    <row r="20" spans="1:3" x14ac:dyDescent="0.35">
      <c r="A20" s="1">
        <v>42552</v>
      </c>
      <c r="B20">
        <v>902.7</v>
      </c>
      <c r="C20" s="5">
        <f t="shared" si="0"/>
        <v>4.339118825100235E-3</v>
      </c>
    </row>
    <row r="21" spans="1:3" x14ac:dyDescent="0.35">
      <c r="A21" s="1">
        <v>42583</v>
      </c>
      <c r="B21">
        <v>918.9</v>
      </c>
      <c r="C21" s="5">
        <f t="shared" si="0"/>
        <v>1.7946161515453564E-2</v>
      </c>
    </row>
    <row r="22" spans="1:3" x14ac:dyDescent="0.35">
      <c r="A22" s="1">
        <v>42614</v>
      </c>
      <c r="B22">
        <v>904.2</v>
      </c>
      <c r="C22" s="5">
        <f t="shared" si="0"/>
        <v>-1.599738818152131E-2</v>
      </c>
    </row>
    <row r="23" spans="1:3" x14ac:dyDescent="0.35">
      <c r="A23" s="1">
        <v>42644</v>
      </c>
      <c r="B23">
        <v>918.1</v>
      </c>
      <c r="C23" s="5">
        <f t="shared" si="0"/>
        <v>1.5372705153727026E-2</v>
      </c>
    </row>
    <row r="24" spans="1:3" x14ac:dyDescent="0.35">
      <c r="A24" s="1">
        <v>42675</v>
      </c>
      <c r="B24">
        <v>882.2</v>
      </c>
      <c r="C24" s="5">
        <f t="shared" si="0"/>
        <v>-3.9102494281668634E-2</v>
      </c>
    </row>
    <row r="25" spans="1:3" x14ac:dyDescent="0.35">
      <c r="A25" s="1">
        <v>42705</v>
      </c>
      <c r="B25">
        <v>895.3</v>
      </c>
      <c r="C25" s="5">
        <f t="shared" si="0"/>
        <v>1.4849240535025968E-2</v>
      </c>
    </row>
    <row r="26" spans="1:3" x14ac:dyDescent="0.35">
      <c r="A26" s="1">
        <v>42736</v>
      </c>
      <c r="B26">
        <v>911.5</v>
      </c>
      <c r="C26" s="5">
        <f t="shared" si="0"/>
        <v>1.8094493465877413E-2</v>
      </c>
    </row>
    <row r="27" spans="1:3" x14ac:dyDescent="0.35">
      <c r="A27" s="1">
        <v>42767</v>
      </c>
      <c r="B27">
        <v>918.6</v>
      </c>
      <c r="C27" s="5">
        <f t="shared" si="0"/>
        <v>7.7893582007679896E-3</v>
      </c>
    </row>
    <row r="28" spans="1:3" x14ac:dyDescent="0.35">
      <c r="A28" s="1">
        <v>42795</v>
      </c>
      <c r="B28">
        <v>952</v>
      </c>
      <c r="C28" s="5">
        <f t="shared" si="0"/>
        <v>3.6359677770520328E-2</v>
      </c>
    </row>
    <row r="29" spans="1:3" x14ac:dyDescent="0.35">
      <c r="A29" s="1">
        <v>42826</v>
      </c>
      <c r="B29">
        <v>966</v>
      </c>
      <c r="C29" s="5">
        <f t="shared" si="0"/>
        <v>1.4705882352941176E-2</v>
      </c>
    </row>
    <row r="30" spans="1:3" x14ac:dyDescent="0.35">
      <c r="A30" s="1">
        <v>42856</v>
      </c>
      <c r="B30">
        <v>974.1</v>
      </c>
      <c r="C30" s="5">
        <f t="shared" si="0"/>
        <v>8.3850931677018868E-3</v>
      </c>
    </row>
    <row r="31" spans="1:3" x14ac:dyDescent="0.35">
      <c r="A31" s="1">
        <v>42887</v>
      </c>
      <c r="B31">
        <v>977.6</v>
      </c>
      <c r="C31" s="5">
        <f t="shared" si="0"/>
        <v>3.5930602607535159E-3</v>
      </c>
    </row>
    <row r="32" spans="1:3" x14ac:dyDescent="0.35">
      <c r="A32" s="1">
        <v>42917</v>
      </c>
      <c r="B32">
        <v>968.9</v>
      </c>
      <c r="C32" s="5">
        <f t="shared" si="0"/>
        <v>-8.899345335515594E-3</v>
      </c>
    </row>
    <row r="33" spans="1:3" x14ac:dyDescent="0.35">
      <c r="A33" s="1">
        <v>42948</v>
      </c>
      <c r="B33">
        <v>981.3</v>
      </c>
      <c r="C33" s="5">
        <f t="shared" si="0"/>
        <v>1.2798018371348929E-2</v>
      </c>
    </row>
    <row r="34" spans="1:3" x14ac:dyDescent="0.35">
      <c r="A34" s="1">
        <v>42979</v>
      </c>
      <c r="B34">
        <v>972.2</v>
      </c>
      <c r="C34" s="5">
        <f t="shared" si="0"/>
        <v>-9.2734128197288386E-3</v>
      </c>
    </row>
    <row r="35" spans="1:3" x14ac:dyDescent="0.35">
      <c r="A35" s="1">
        <v>43009</v>
      </c>
      <c r="B35">
        <v>977.9</v>
      </c>
      <c r="C35" s="5">
        <f t="shared" si="0"/>
        <v>5.8629911540834514E-3</v>
      </c>
    </row>
    <row r="36" spans="1:3" x14ac:dyDescent="0.35">
      <c r="A36" s="1">
        <v>43040</v>
      </c>
      <c r="B36">
        <v>964.5</v>
      </c>
      <c r="C36" s="5">
        <f t="shared" si="0"/>
        <v>-1.3702832600470373E-2</v>
      </c>
    </row>
    <row r="37" spans="1:3" x14ac:dyDescent="0.35">
      <c r="A37" s="1">
        <v>43070</v>
      </c>
      <c r="B37">
        <v>1016.1</v>
      </c>
      <c r="C37" s="5">
        <f t="shared" si="0"/>
        <v>5.3499222395023353E-2</v>
      </c>
    </row>
    <row r="38" spans="1:3" x14ac:dyDescent="0.35">
      <c r="A38" s="1">
        <v>43101</v>
      </c>
      <c r="B38">
        <v>1056.4000000000001</v>
      </c>
      <c r="C38" s="5">
        <f t="shared" si="0"/>
        <v>3.9661450644621656E-2</v>
      </c>
    </row>
    <row r="39" spans="1:3" x14ac:dyDescent="0.35">
      <c r="A39" s="1">
        <v>43132</v>
      </c>
      <c r="B39">
        <v>1051.0999999999999</v>
      </c>
      <c r="C39" s="5">
        <f t="shared" si="0"/>
        <v>-5.0170390003788159E-3</v>
      </c>
    </row>
    <row r="40" spans="1:3" x14ac:dyDescent="0.35">
      <c r="A40" s="1">
        <v>43160</v>
      </c>
      <c r="B40">
        <v>1054.8</v>
      </c>
      <c r="C40" s="5">
        <f t="shared" si="0"/>
        <v>3.5201217771858489E-3</v>
      </c>
    </row>
    <row r="41" spans="1:3" x14ac:dyDescent="0.35">
      <c r="A41" s="1">
        <v>43191</v>
      </c>
      <c r="B41">
        <v>1054.5</v>
      </c>
      <c r="C41" s="5">
        <f t="shared" si="0"/>
        <v>-2.844141069396611E-4</v>
      </c>
    </row>
    <row r="42" spans="1:3" x14ac:dyDescent="0.35">
      <c r="A42" s="1">
        <v>43221</v>
      </c>
      <c r="B42">
        <v>961.8</v>
      </c>
      <c r="C42" s="5">
        <f t="shared" si="0"/>
        <v>-8.7908961593172158E-2</v>
      </c>
    </row>
    <row r="43" spans="1:3" x14ac:dyDescent="0.35">
      <c r="A43" s="1">
        <v>43252</v>
      </c>
      <c r="B43">
        <v>942</v>
      </c>
      <c r="C43" s="5">
        <f t="shared" si="0"/>
        <v>-2.0586400499064208E-2</v>
      </c>
    </row>
    <row r="44" spans="1:3" x14ac:dyDescent="0.35">
      <c r="A44" s="1">
        <v>43282</v>
      </c>
      <c r="B44">
        <v>1001.1</v>
      </c>
      <c r="C44" s="5">
        <f t="shared" si="0"/>
        <v>6.2738853503184741E-2</v>
      </c>
    </row>
    <row r="45" spans="1:3" x14ac:dyDescent="0.35">
      <c r="A45" s="1">
        <v>43313</v>
      </c>
      <c r="B45">
        <v>1021.5</v>
      </c>
      <c r="C45" s="5">
        <f t="shared" si="0"/>
        <v>2.0377584656877411E-2</v>
      </c>
    </row>
    <row r="46" spans="1:3" x14ac:dyDescent="0.35">
      <c r="A46" s="1">
        <v>43344</v>
      </c>
      <c r="B46">
        <v>1009.5</v>
      </c>
      <c r="C46" s="5">
        <f t="shared" si="0"/>
        <v>-1.1747430249632892E-2</v>
      </c>
    </row>
    <row r="47" spans="1:3" x14ac:dyDescent="0.35">
      <c r="A47" s="1">
        <v>43374</v>
      </c>
      <c r="B47">
        <v>953.1</v>
      </c>
      <c r="C47" s="5">
        <f t="shared" si="0"/>
        <v>-5.5869242199108445E-2</v>
      </c>
    </row>
    <row r="48" spans="1:3" x14ac:dyDescent="0.35">
      <c r="A48" s="1">
        <v>43405</v>
      </c>
      <c r="B48">
        <v>938.8</v>
      </c>
      <c r="C48" s="5">
        <f t="shared" si="0"/>
        <v>-1.5003672227468333E-2</v>
      </c>
    </row>
    <row r="49" spans="1:3" x14ac:dyDescent="0.35">
      <c r="A49" s="1">
        <v>43435</v>
      </c>
      <c r="B49">
        <v>939</v>
      </c>
      <c r="C49" s="5">
        <f t="shared" si="0"/>
        <v>2.1303792074994193E-4</v>
      </c>
    </row>
    <row r="50" spans="1:3" x14ac:dyDescent="0.35">
      <c r="A50" s="1">
        <v>43466</v>
      </c>
      <c r="B50">
        <v>941.5</v>
      </c>
      <c r="C50" s="5">
        <f t="shared" si="0"/>
        <v>2.6624068157614484E-3</v>
      </c>
    </row>
    <row r="51" spans="1:3" x14ac:dyDescent="0.35">
      <c r="A51" s="1">
        <v>43497</v>
      </c>
      <c r="B51">
        <v>951.9</v>
      </c>
      <c r="C51" s="5">
        <f t="shared" si="0"/>
        <v>1.1046202867764181E-2</v>
      </c>
    </row>
    <row r="52" spans="1:3" x14ac:dyDescent="0.35">
      <c r="A52" s="1">
        <v>43525</v>
      </c>
      <c r="B52">
        <v>920</v>
      </c>
      <c r="C52" s="5">
        <f t="shared" si="0"/>
        <v>-3.3511923521378273E-2</v>
      </c>
    </row>
    <row r="53" spans="1:3" x14ac:dyDescent="0.35">
      <c r="A53" s="1">
        <v>43556</v>
      </c>
      <c r="B53">
        <v>919.1</v>
      </c>
      <c r="C53" s="5">
        <f t="shared" si="0"/>
        <v>-9.7826086956519275E-4</v>
      </c>
    </row>
    <row r="54" spans="1:3" x14ac:dyDescent="0.35">
      <c r="A54" s="1">
        <v>43586</v>
      </c>
      <c r="B54">
        <v>925.1</v>
      </c>
      <c r="C54" s="5">
        <f t="shared" si="0"/>
        <v>6.5281253400065282E-3</v>
      </c>
    </row>
    <row r="55" spans="1:3" x14ac:dyDescent="0.35">
      <c r="A55" s="1">
        <v>43617</v>
      </c>
      <c r="B55">
        <v>937</v>
      </c>
      <c r="C55" s="5">
        <f t="shared" si="0"/>
        <v>1.2863474219003326E-2</v>
      </c>
    </row>
    <row r="56" spans="1:3" x14ac:dyDescent="0.35">
      <c r="A56" s="1">
        <v>43647</v>
      </c>
      <c r="B56">
        <v>913.4</v>
      </c>
      <c r="C56" s="5">
        <f t="shared" si="0"/>
        <v>-2.5186766275346877E-2</v>
      </c>
    </row>
    <row r="57" spans="1:3" x14ac:dyDescent="0.35">
      <c r="A57" s="1">
        <v>43678</v>
      </c>
      <c r="B57">
        <v>896.5</v>
      </c>
      <c r="C57" s="5">
        <f t="shared" si="0"/>
        <v>-1.8502299102255284E-2</v>
      </c>
    </row>
    <row r="58" spans="1:3" x14ac:dyDescent="0.35">
      <c r="A58" s="1">
        <v>43709</v>
      </c>
      <c r="B58">
        <v>882.6</v>
      </c>
      <c r="C58" s="5">
        <f t="shared" si="0"/>
        <v>-1.5504740658114866E-2</v>
      </c>
    </row>
    <row r="59" spans="1:3" x14ac:dyDescent="0.35">
      <c r="A59" s="1">
        <v>43739</v>
      </c>
      <c r="B59">
        <v>888.6</v>
      </c>
      <c r="C59" s="5">
        <f t="shared" si="0"/>
        <v>6.7980965329707682E-3</v>
      </c>
    </row>
    <row r="60" spans="1:3" x14ac:dyDescent="0.35">
      <c r="A60" s="1">
        <v>43770</v>
      </c>
      <c r="B60">
        <v>872.5</v>
      </c>
      <c r="C60" s="5">
        <f t="shared" si="0"/>
        <v>-1.8118388476254809E-2</v>
      </c>
    </row>
    <row r="61" spans="1:3" x14ac:dyDescent="0.35">
      <c r="A61" s="1">
        <v>43800</v>
      </c>
      <c r="B61">
        <v>887.9</v>
      </c>
      <c r="C61" s="5">
        <f t="shared" si="0"/>
        <v>1.7650429799426909E-2</v>
      </c>
    </row>
    <row r="62" spans="1:3" x14ac:dyDescent="0.35">
      <c r="A62" s="1">
        <v>43831</v>
      </c>
      <c r="B62">
        <v>850.9</v>
      </c>
      <c r="C62" s="5">
        <f t="shared" si="0"/>
        <v>-4.1671359387318391E-2</v>
      </c>
    </row>
    <row r="63" spans="1:3" x14ac:dyDescent="0.35">
      <c r="A63" s="1">
        <v>43862</v>
      </c>
      <c r="B63">
        <v>822.5</v>
      </c>
      <c r="C63" s="5">
        <f t="shared" si="0"/>
        <v>-3.3376424961805123E-2</v>
      </c>
    </row>
    <row r="64" spans="1:3" x14ac:dyDescent="0.35">
      <c r="A64" s="1">
        <v>43891</v>
      </c>
      <c r="B64">
        <v>744.5</v>
      </c>
      <c r="C64" s="5">
        <f t="shared" si="0"/>
        <v>-9.4832826747720367E-2</v>
      </c>
    </row>
    <row r="65" spans="1:3" x14ac:dyDescent="0.35">
      <c r="A65" s="1">
        <v>43922</v>
      </c>
      <c r="B65">
        <v>778.4</v>
      </c>
      <c r="C65" s="5">
        <f t="shared" si="0"/>
        <v>4.5533915379449265E-2</v>
      </c>
    </row>
    <row r="66" spans="1:3" x14ac:dyDescent="0.35">
      <c r="A66" s="1">
        <v>43952</v>
      </c>
      <c r="B66">
        <v>818.2</v>
      </c>
      <c r="C66" s="5">
        <f t="shared" si="0"/>
        <v>5.1130524152106976E-2</v>
      </c>
    </row>
    <row r="67" spans="1:3" x14ac:dyDescent="0.35">
      <c r="A67" s="1">
        <v>43983</v>
      </c>
      <c r="B67">
        <v>826.4</v>
      </c>
      <c r="C67" s="5">
        <f t="shared" si="0"/>
        <v>1.0021999511121892E-2</v>
      </c>
    </row>
    <row r="68" spans="1:3" x14ac:dyDescent="0.35">
      <c r="A68" s="1">
        <v>44013</v>
      </c>
      <c r="B68">
        <v>884.6</v>
      </c>
      <c r="C68" s="5">
        <f t="shared" ref="C68:C97" si="1">(B68-B67)/B67</f>
        <v>7.0425943852855818E-2</v>
      </c>
    </row>
    <row r="69" spans="1:3" x14ac:dyDescent="0.35">
      <c r="A69" s="1">
        <v>44044</v>
      </c>
      <c r="B69">
        <v>847.7</v>
      </c>
      <c r="C69" s="5">
        <f t="shared" si="1"/>
        <v>-4.1713768935111889E-2</v>
      </c>
    </row>
    <row r="70" spans="1:3" x14ac:dyDescent="0.35">
      <c r="A70" s="1">
        <v>44075</v>
      </c>
      <c r="B70">
        <v>833.1</v>
      </c>
      <c r="C70" s="5">
        <f t="shared" si="1"/>
        <v>-1.7223074200778603E-2</v>
      </c>
    </row>
    <row r="71" spans="1:3" x14ac:dyDescent="0.35">
      <c r="A71" s="1">
        <v>44105</v>
      </c>
      <c r="B71">
        <v>810.7</v>
      </c>
      <c r="C71" s="5">
        <f t="shared" si="1"/>
        <v>-2.6887528507982206E-2</v>
      </c>
    </row>
    <row r="72" spans="1:3" x14ac:dyDescent="0.35">
      <c r="A72" s="1">
        <v>44136</v>
      </c>
      <c r="B72">
        <v>863.6</v>
      </c>
      <c r="C72" s="5">
        <f t="shared" si="1"/>
        <v>6.5252251140989231E-2</v>
      </c>
    </row>
    <row r="73" spans="1:3" x14ac:dyDescent="0.35">
      <c r="A73" s="1">
        <v>44166</v>
      </c>
      <c r="B73">
        <v>908.3</v>
      </c>
      <c r="C73" s="5">
        <f t="shared" si="1"/>
        <v>5.176007410838343E-2</v>
      </c>
    </row>
    <row r="74" spans="1:3" x14ac:dyDescent="0.35">
      <c r="A74" s="1">
        <v>44197</v>
      </c>
      <c r="B74">
        <v>874.3</v>
      </c>
      <c r="C74" s="5">
        <f t="shared" si="1"/>
        <v>-3.7432566332709458E-2</v>
      </c>
    </row>
    <row r="75" spans="1:3" x14ac:dyDescent="0.35">
      <c r="A75" s="1">
        <v>44228</v>
      </c>
      <c r="B75">
        <v>884.2</v>
      </c>
      <c r="C75" s="5">
        <f t="shared" si="1"/>
        <v>1.1323344389797657E-2</v>
      </c>
    </row>
    <row r="76" spans="1:3" x14ac:dyDescent="0.35">
      <c r="A76" s="1">
        <v>44256</v>
      </c>
      <c r="B76">
        <v>882.2</v>
      </c>
      <c r="C76" s="5">
        <f t="shared" si="1"/>
        <v>-2.2619316896629721E-3</v>
      </c>
    </row>
    <row r="77" spans="1:3" x14ac:dyDescent="0.35">
      <c r="A77" s="1">
        <v>44287</v>
      </c>
      <c r="B77">
        <v>889</v>
      </c>
      <c r="C77" s="5">
        <f t="shared" si="1"/>
        <v>7.7080027204714961E-3</v>
      </c>
    </row>
    <row r="78" spans="1:3" x14ac:dyDescent="0.35">
      <c r="A78" s="1">
        <v>44317</v>
      </c>
      <c r="B78">
        <v>877.9</v>
      </c>
      <c r="C78" s="5">
        <f t="shared" si="1"/>
        <v>-1.2485939257592827E-2</v>
      </c>
    </row>
    <row r="79" spans="1:3" x14ac:dyDescent="0.35">
      <c r="A79" s="1">
        <v>44348</v>
      </c>
      <c r="B79">
        <v>857.3</v>
      </c>
      <c r="C79" s="5">
        <f t="shared" si="1"/>
        <v>-2.3465087139765375E-2</v>
      </c>
    </row>
    <row r="80" spans="1:3" x14ac:dyDescent="0.35">
      <c r="A80" s="1">
        <v>44378</v>
      </c>
      <c r="B80">
        <v>834.9</v>
      </c>
      <c r="C80" s="5">
        <f t="shared" si="1"/>
        <v>-2.6128543100431563E-2</v>
      </c>
    </row>
    <row r="81" spans="1:3" x14ac:dyDescent="0.35">
      <c r="A81" s="1">
        <v>44409</v>
      </c>
      <c r="B81">
        <v>894.1</v>
      </c>
      <c r="C81" s="5">
        <f t="shared" si="1"/>
        <v>7.0906695412624329E-2</v>
      </c>
    </row>
    <row r="82" spans="1:3" x14ac:dyDescent="0.35">
      <c r="A82" s="1">
        <v>44440</v>
      </c>
      <c r="B82">
        <v>869.5</v>
      </c>
      <c r="C82" s="5">
        <f t="shared" si="1"/>
        <v>-2.7513700928307822E-2</v>
      </c>
    </row>
    <row r="83" spans="1:3" x14ac:dyDescent="0.35">
      <c r="A83" s="1">
        <v>44470</v>
      </c>
      <c r="B83">
        <v>889.6</v>
      </c>
      <c r="C83" s="5">
        <f t="shared" si="1"/>
        <v>2.3116733755031652E-2</v>
      </c>
    </row>
    <row r="84" spans="1:3" x14ac:dyDescent="0.35">
      <c r="A84" s="1">
        <v>44501</v>
      </c>
      <c r="B84">
        <v>857.1</v>
      </c>
      <c r="C84" s="5">
        <f t="shared" si="1"/>
        <v>-3.6533273381294966E-2</v>
      </c>
    </row>
    <row r="85" spans="1:3" x14ac:dyDescent="0.35">
      <c r="A85" s="1">
        <v>44531</v>
      </c>
      <c r="B85">
        <v>880.3</v>
      </c>
      <c r="C85" s="5">
        <f t="shared" si="1"/>
        <v>2.7068020067669969E-2</v>
      </c>
    </row>
    <row r="86" spans="1:3" x14ac:dyDescent="0.35">
      <c r="A86" s="1">
        <v>44562</v>
      </c>
      <c r="B86">
        <v>849.9</v>
      </c>
      <c r="C86" s="5">
        <f t="shared" si="1"/>
        <v>-3.4533681699420629E-2</v>
      </c>
    </row>
    <row r="87" spans="1:3" x14ac:dyDescent="0.35">
      <c r="A87" s="1">
        <v>44593</v>
      </c>
      <c r="B87">
        <v>899.2</v>
      </c>
      <c r="C87" s="5">
        <f t="shared" si="1"/>
        <v>5.800682433227447E-2</v>
      </c>
    </row>
    <row r="88" spans="1:3" x14ac:dyDescent="0.35">
      <c r="A88" s="1">
        <v>44621</v>
      </c>
      <c r="B88">
        <v>900.3</v>
      </c>
      <c r="C88" s="5">
        <f t="shared" si="1"/>
        <v>1.223309608540824E-3</v>
      </c>
    </row>
    <row r="89" spans="1:3" x14ac:dyDescent="0.35">
      <c r="A89" s="1">
        <v>44652</v>
      </c>
      <c r="B89">
        <v>910.8</v>
      </c>
      <c r="C89" s="5">
        <f t="shared" si="1"/>
        <v>1.166277907364212E-2</v>
      </c>
    </row>
    <row r="90" spans="1:3" x14ac:dyDescent="0.35">
      <c r="A90" s="1">
        <v>44682</v>
      </c>
      <c r="B90">
        <v>893.1</v>
      </c>
      <c r="C90" s="5">
        <f t="shared" si="1"/>
        <v>-1.9433465085638923E-2</v>
      </c>
    </row>
    <row r="91" spans="1:3" x14ac:dyDescent="0.35">
      <c r="A91" s="1">
        <v>44713</v>
      </c>
      <c r="B91">
        <v>829.5</v>
      </c>
      <c r="C91" s="5">
        <f t="shared" si="1"/>
        <v>-7.1212630164595253E-2</v>
      </c>
    </row>
    <row r="92" spans="1:3" x14ac:dyDescent="0.35">
      <c r="A92" s="1">
        <v>44743</v>
      </c>
      <c r="B92">
        <v>857.5</v>
      </c>
      <c r="C92" s="5">
        <f t="shared" si="1"/>
        <v>3.3755274261603373E-2</v>
      </c>
    </row>
    <row r="93" spans="1:3" x14ac:dyDescent="0.35">
      <c r="A93" s="1">
        <v>44774</v>
      </c>
      <c r="B93">
        <v>871.1</v>
      </c>
      <c r="C93" s="5">
        <f t="shared" si="1"/>
        <v>1.5860058309037927E-2</v>
      </c>
    </row>
    <row r="94" spans="1:3" x14ac:dyDescent="0.35">
      <c r="A94" s="1">
        <v>44805</v>
      </c>
      <c r="B94">
        <v>806.9</v>
      </c>
      <c r="C94" s="5">
        <f t="shared" si="1"/>
        <v>-7.3699919641832215E-2</v>
      </c>
    </row>
    <row r="95" spans="1:3" x14ac:dyDescent="0.35">
      <c r="A95" s="1">
        <v>44835</v>
      </c>
      <c r="B95">
        <v>839.4</v>
      </c>
      <c r="C95" s="5">
        <f t="shared" si="1"/>
        <v>4.0277605651257903E-2</v>
      </c>
    </row>
    <row r="96" spans="1:3" x14ac:dyDescent="0.35">
      <c r="A96" s="1">
        <v>44866</v>
      </c>
      <c r="B96">
        <v>863</v>
      </c>
      <c r="C96" s="5">
        <f t="shared" si="1"/>
        <v>2.8115320467000268E-2</v>
      </c>
    </row>
    <row r="97" spans="1:3" x14ac:dyDescent="0.35">
      <c r="A97" s="1">
        <v>44896</v>
      </c>
      <c r="B97">
        <v>867</v>
      </c>
      <c r="C97" s="5">
        <f t="shared" si="1"/>
        <v>4.6349942062572421E-3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81D55-5C18-480A-8E28-38B362749D07}">
  <dimension ref="A1:C97"/>
  <sheetViews>
    <sheetView topLeftCell="A76" workbookViewId="0">
      <selection activeCell="C3" sqref="C3:C97"/>
    </sheetView>
  </sheetViews>
  <sheetFormatPr defaultRowHeight="14.5" x14ac:dyDescent="0.35"/>
  <cols>
    <col min="1" max="1" width="9.7265625" customWidth="1"/>
    <col min="2" max="2" width="9.81640625" customWidth="1"/>
    <col min="3" max="3" width="10.7265625" customWidth="1"/>
  </cols>
  <sheetData>
    <row r="1" spans="1:3" x14ac:dyDescent="0.35">
      <c r="A1" t="s">
        <v>0</v>
      </c>
      <c r="B1" t="s">
        <v>8</v>
      </c>
      <c r="C1" t="s">
        <v>18</v>
      </c>
    </row>
    <row r="2" spans="1:3" x14ac:dyDescent="0.35">
      <c r="A2" s="1">
        <v>42005</v>
      </c>
      <c r="B2">
        <v>12851.97</v>
      </c>
    </row>
    <row r="3" spans="1:3" x14ac:dyDescent="0.35">
      <c r="A3" s="1">
        <v>42036</v>
      </c>
      <c r="B3">
        <v>13120.63</v>
      </c>
      <c r="C3" s="5">
        <f>(B3-B2)/B2</f>
        <v>2.0904188229508774E-2</v>
      </c>
    </row>
    <row r="4" spans="1:3" x14ac:dyDescent="0.35">
      <c r="A4" s="1">
        <v>42064</v>
      </c>
      <c r="B4">
        <v>13122.15</v>
      </c>
      <c r="C4" s="5">
        <f t="shared" ref="C4:C67" si="0">(B4-B3)/B3</f>
        <v>1.1584809570885215E-4</v>
      </c>
    </row>
    <row r="5" spans="1:3" x14ac:dyDescent="0.35">
      <c r="A5" s="1">
        <v>42095</v>
      </c>
      <c r="B5">
        <v>13073.91</v>
      </c>
      <c r="C5" s="5">
        <f t="shared" si="0"/>
        <v>-3.6762268378276262E-3</v>
      </c>
    </row>
    <row r="6" spans="1:3" x14ac:dyDescent="0.35">
      <c r="A6" s="1">
        <v>42125</v>
      </c>
      <c r="B6">
        <v>12576.45</v>
      </c>
      <c r="C6" s="5">
        <f t="shared" si="0"/>
        <v>-3.8049825951073486E-2</v>
      </c>
    </row>
    <row r="7" spans="1:3" x14ac:dyDescent="0.35">
      <c r="A7" s="1">
        <v>42156</v>
      </c>
      <c r="B7">
        <v>12208.85</v>
      </c>
      <c r="C7" s="5">
        <f t="shared" si="0"/>
        <v>-2.9229234004826507E-2</v>
      </c>
    </row>
    <row r="8" spans="1:3" x14ac:dyDescent="0.35">
      <c r="A8" s="1">
        <v>42186</v>
      </c>
      <c r="B8">
        <v>12373.72</v>
      </c>
      <c r="C8" s="5">
        <f t="shared" si="0"/>
        <v>1.3504138391412703E-2</v>
      </c>
    </row>
    <row r="9" spans="1:3" x14ac:dyDescent="0.35">
      <c r="A9" s="1">
        <v>42217</v>
      </c>
      <c r="B9">
        <v>11443.34</v>
      </c>
      <c r="C9" s="5">
        <f t="shared" si="0"/>
        <v>-7.5189999450448144E-2</v>
      </c>
    </row>
    <row r="10" spans="1:3" x14ac:dyDescent="0.35">
      <c r="A10" s="1">
        <v>42248</v>
      </c>
      <c r="B10">
        <v>11889.05</v>
      </c>
      <c r="C10" s="5">
        <f t="shared" si="0"/>
        <v>3.8949292776409607E-2</v>
      </c>
    </row>
    <row r="11" spans="1:3" x14ac:dyDescent="0.35">
      <c r="A11" s="1">
        <v>42278</v>
      </c>
      <c r="B11">
        <v>12392.83</v>
      </c>
      <c r="C11" s="5">
        <f t="shared" si="0"/>
        <v>4.2373444472014223E-2</v>
      </c>
    </row>
    <row r="12" spans="1:3" x14ac:dyDescent="0.35">
      <c r="A12" s="1">
        <v>42309</v>
      </c>
      <c r="B12">
        <v>12506.87</v>
      </c>
      <c r="C12" s="5">
        <f t="shared" si="0"/>
        <v>9.2020950823985224E-3</v>
      </c>
    </row>
    <row r="13" spans="1:3" x14ac:dyDescent="0.35">
      <c r="A13" s="1">
        <v>42339</v>
      </c>
      <c r="B13">
        <v>12800.65</v>
      </c>
      <c r="C13" s="5">
        <f t="shared" si="0"/>
        <v>2.3489490176199068E-2</v>
      </c>
    </row>
    <row r="14" spans="1:3" x14ac:dyDescent="0.35">
      <c r="A14" s="1">
        <v>42370</v>
      </c>
      <c r="B14">
        <v>12420.82</v>
      </c>
      <c r="C14" s="5">
        <f t="shared" si="0"/>
        <v>-2.9672711932597167E-2</v>
      </c>
    </row>
    <row r="15" spans="1:3" x14ac:dyDescent="0.35">
      <c r="A15" s="1">
        <v>42401</v>
      </c>
      <c r="B15">
        <v>12249.24</v>
      </c>
      <c r="C15" s="5">
        <f t="shared" si="0"/>
        <v>-1.3813902785806407E-2</v>
      </c>
    </row>
    <row r="16" spans="1:3" x14ac:dyDescent="0.35">
      <c r="A16" s="1">
        <v>42430</v>
      </c>
      <c r="B16">
        <v>12498.31</v>
      </c>
      <c r="C16" s="5">
        <f t="shared" si="0"/>
        <v>2.0333506405295326E-2</v>
      </c>
    </row>
    <row r="17" spans="1:3" x14ac:dyDescent="0.35">
      <c r="A17" s="1">
        <v>42461</v>
      </c>
      <c r="B17">
        <v>12208.99</v>
      </c>
      <c r="C17" s="5">
        <f t="shared" si="0"/>
        <v>-2.3148729708256533E-2</v>
      </c>
    </row>
    <row r="18" spans="1:3" x14ac:dyDescent="0.35">
      <c r="A18" s="1">
        <v>42491</v>
      </c>
      <c r="B18">
        <v>11922.64</v>
      </c>
      <c r="C18" s="5">
        <f t="shared" si="0"/>
        <v>-2.3454028547816023E-2</v>
      </c>
    </row>
    <row r="19" spans="1:3" x14ac:dyDescent="0.35">
      <c r="A19" s="1">
        <v>42522</v>
      </c>
      <c r="B19">
        <v>12102.94</v>
      </c>
      <c r="C19" s="5">
        <f t="shared" si="0"/>
        <v>1.5122489649943394E-2</v>
      </c>
    </row>
    <row r="20" spans="1:3" x14ac:dyDescent="0.35">
      <c r="A20" s="1">
        <v>42552</v>
      </c>
      <c r="B20">
        <v>12198.77</v>
      </c>
      <c r="C20" s="5">
        <f t="shared" si="0"/>
        <v>7.917910854717939E-3</v>
      </c>
    </row>
    <row r="21" spans="1:3" x14ac:dyDescent="0.35">
      <c r="A21" s="1">
        <v>42583</v>
      </c>
      <c r="B21">
        <v>12430.5</v>
      </c>
      <c r="C21" s="5">
        <f t="shared" si="0"/>
        <v>1.8996177483467561E-2</v>
      </c>
    </row>
    <row r="22" spans="1:3" x14ac:dyDescent="0.35">
      <c r="A22" s="1">
        <v>42614</v>
      </c>
      <c r="B22">
        <v>12348.18</v>
      </c>
      <c r="C22" s="5">
        <f t="shared" si="0"/>
        <v>-6.622420658863256E-3</v>
      </c>
    </row>
    <row r="23" spans="1:3" x14ac:dyDescent="0.35">
      <c r="A23" s="1">
        <v>42644</v>
      </c>
      <c r="B23">
        <v>12384.01</v>
      </c>
      <c r="C23" s="5">
        <f t="shared" si="0"/>
        <v>2.9016421853260907E-3</v>
      </c>
    </row>
    <row r="24" spans="1:3" x14ac:dyDescent="0.35">
      <c r="A24" s="1">
        <v>42675</v>
      </c>
      <c r="B24">
        <v>11901.19</v>
      </c>
      <c r="C24" s="5">
        <f t="shared" si="0"/>
        <v>-3.8987371618724447E-2</v>
      </c>
    </row>
    <row r="25" spans="1:3" x14ac:dyDescent="0.35">
      <c r="A25" s="1">
        <v>42705</v>
      </c>
      <c r="B25">
        <v>12014.42</v>
      </c>
      <c r="C25" s="5">
        <f t="shared" si="0"/>
        <v>9.5141746329568348E-3</v>
      </c>
    </row>
    <row r="26" spans="1:3" x14ac:dyDescent="0.35">
      <c r="A26" s="1">
        <v>42736</v>
      </c>
      <c r="B26">
        <v>12227.59</v>
      </c>
      <c r="C26" s="5">
        <f t="shared" si="0"/>
        <v>1.7742845680440676E-2</v>
      </c>
    </row>
    <row r="27" spans="1:3" x14ac:dyDescent="0.35">
      <c r="A27" s="1">
        <v>42767</v>
      </c>
      <c r="B27">
        <v>12387.75</v>
      </c>
      <c r="C27" s="5">
        <f t="shared" si="0"/>
        <v>1.3098247487853277E-2</v>
      </c>
    </row>
    <row r="28" spans="1:3" x14ac:dyDescent="0.35">
      <c r="A28" s="1">
        <v>42795</v>
      </c>
      <c r="B28">
        <v>12811.34</v>
      </c>
      <c r="C28" s="5">
        <f t="shared" si="0"/>
        <v>3.4194264495166611E-2</v>
      </c>
    </row>
    <row r="29" spans="1:3" x14ac:dyDescent="0.35">
      <c r="A29" s="1">
        <v>42826</v>
      </c>
      <c r="B29">
        <v>12972.49</v>
      </c>
      <c r="C29" s="5">
        <f t="shared" si="0"/>
        <v>1.2578699808138699E-2</v>
      </c>
    </row>
    <row r="30" spans="1:3" x14ac:dyDescent="0.35">
      <c r="A30" s="1">
        <v>42856</v>
      </c>
      <c r="B30">
        <v>12804.02</v>
      </c>
      <c r="C30" s="5">
        <f t="shared" si="0"/>
        <v>-1.2986712651156359E-2</v>
      </c>
    </row>
    <row r="31" spans="1:3" x14ac:dyDescent="0.35">
      <c r="A31" s="1">
        <v>42887</v>
      </c>
      <c r="B31">
        <v>12822.15</v>
      </c>
      <c r="C31" s="5">
        <f t="shared" si="0"/>
        <v>1.4159615495757739E-3</v>
      </c>
    </row>
    <row r="32" spans="1:3" x14ac:dyDescent="0.35">
      <c r="A32" s="1">
        <v>42917</v>
      </c>
      <c r="B32">
        <v>12717.64</v>
      </c>
      <c r="C32" s="5">
        <f t="shared" si="0"/>
        <v>-8.1507391506104847E-3</v>
      </c>
    </row>
    <row r="33" spans="1:3" x14ac:dyDescent="0.35">
      <c r="A33" s="1">
        <v>42948</v>
      </c>
      <c r="B33">
        <v>12749.09</v>
      </c>
      <c r="C33" s="5">
        <f t="shared" si="0"/>
        <v>2.4729430932154653E-3</v>
      </c>
    </row>
    <row r="34" spans="1:3" x14ac:dyDescent="0.35">
      <c r="A34" s="1">
        <v>42979</v>
      </c>
      <c r="B34">
        <v>12797.37</v>
      </c>
      <c r="C34" s="5">
        <f t="shared" si="0"/>
        <v>3.7869369500098168E-3</v>
      </c>
    </row>
    <row r="35" spans="1:3" x14ac:dyDescent="0.35">
      <c r="A35" s="1">
        <v>43009</v>
      </c>
      <c r="B35">
        <v>13082.72</v>
      </c>
      <c r="C35" s="5">
        <f t="shared" si="0"/>
        <v>2.2297550199767494E-2</v>
      </c>
    </row>
    <row r="36" spans="1:3" x14ac:dyDescent="0.35">
      <c r="A36" s="1">
        <v>43040</v>
      </c>
      <c r="B36">
        <v>12920.15</v>
      </c>
      <c r="C36" s="5">
        <f t="shared" si="0"/>
        <v>-1.242631501706065E-2</v>
      </c>
    </row>
    <row r="37" spans="1:3" x14ac:dyDescent="0.35">
      <c r="A37" s="1">
        <v>43070</v>
      </c>
      <c r="B37">
        <v>13302.92</v>
      </c>
      <c r="C37" s="5">
        <f t="shared" si="0"/>
        <v>2.9625817037727924E-2</v>
      </c>
    </row>
    <row r="38" spans="1:3" x14ac:dyDescent="0.35">
      <c r="A38" s="1">
        <v>43101</v>
      </c>
      <c r="B38">
        <v>13658.05</v>
      </c>
      <c r="C38" s="5">
        <f t="shared" si="0"/>
        <v>2.6695642761138096E-2</v>
      </c>
    </row>
    <row r="39" spans="1:3" x14ac:dyDescent="0.35">
      <c r="A39" s="1">
        <v>43132</v>
      </c>
      <c r="B39">
        <v>13427.51</v>
      </c>
      <c r="C39" s="5">
        <f t="shared" si="0"/>
        <v>-1.6879422758007114E-2</v>
      </c>
    </row>
    <row r="40" spans="1:3" x14ac:dyDescent="0.35">
      <c r="A40" s="1">
        <v>43160</v>
      </c>
      <c r="B40">
        <v>13230.74</v>
      </c>
      <c r="C40" s="5">
        <f t="shared" si="0"/>
        <v>-1.4654243415197638E-2</v>
      </c>
    </row>
    <row r="41" spans="1:3" x14ac:dyDescent="0.35">
      <c r="A41" s="1">
        <v>43191</v>
      </c>
      <c r="B41">
        <v>13169.14</v>
      </c>
      <c r="C41" s="5">
        <f t="shared" si="0"/>
        <v>-4.6558242396117196E-3</v>
      </c>
    </row>
    <row r="42" spans="1:3" x14ac:dyDescent="0.35">
      <c r="A42" s="1">
        <v>43221</v>
      </c>
      <c r="B42">
        <v>12175.97</v>
      </c>
      <c r="C42" s="5">
        <f t="shared" si="0"/>
        <v>-7.5416466071436719E-2</v>
      </c>
    </row>
    <row r="43" spans="1:3" x14ac:dyDescent="0.35">
      <c r="A43" s="1">
        <v>43252</v>
      </c>
      <c r="B43">
        <v>12092.55</v>
      </c>
      <c r="C43" s="5">
        <f t="shared" si="0"/>
        <v>-6.8511995348214619E-3</v>
      </c>
    </row>
    <row r="44" spans="1:3" x14ac:dyDescent="0.35">
      <c r="A44" s="1">
        <v>43282</v>
      </c>
      <c r="B44">
        <v>12810.75</v>
      </c>
      <c r="C44" s="5">
        <f t="shared" si="0"/>
        <v>5.9391939665331198E-2</v>
      </c>
    </row>
    <row r="45" spans="1:3" x14ac:dyDescent="0.35">
      <c r="A45" s="1">
        <v>43313</v>
      </c>
      <c r="B45">
        <v>12807.07</v>
      </c>
      <c r="C45" s="5">
        <f t="shared" si="0"/>
        <v>-2.8725874753627158E-4</v>
      </c>
    </row>
    <row r="46" spans="1:3" x14ac:dyDescent="0.35">
      <c r="A46" s="1">
        <v>43344</v>
      </c>
      <c r="B46">
        <v>12678.56</v>
      </c>
      <c r="C46" s="5">
        <f t="shared" si="0"/>
        <v>-1.0034301366354696E-2</v>
      </c>
    </row>
    <row r="47" spans="1:3" x14ac:dyDescent="0.35">
      <c r="A47" s="1">
        <v>43374</v>
      </c>
      <c r="B47">
        <v>11771.78</v>
      </c>
      <c r="C47" s="5">
        <f t="shared" si="0"/>
        <v>-7.1520740525737855E-2</v>
      </c>
    </row>
    <row r="48" spans="1:3" x14ac:dyDescent="0.35">
      <c r="A48" s="1">
        <v>43405</v>
      </c>
      <c r="B48">
        <v>11633.44</v>
      </c>
      <c r="C48" s="5">
        <f t="shared" si="0"/>
        <v>-1.1751833622442837E-2</v>
      </c>
    </row>
    <row r="49" spans="1:3" x14ac:dyDescent="0.35">
      <c r="A49" s="1">
        <v>43435</v>
      </c>
      <c r="B49">
        <v>11504.43</v>
      </c>
      <c r="C49" s="5">
        <f t="shared" si="0"/>
        <v>-1.1089583132762124E-2</v>
      </c>
    </row>
    <row r="50" spans="1:3" x14ac:dyDescent="0.35">
      <c r="A50" s="1">
        <v>43466</v>
      </c>
      <c r="B50">
        <v>11552.61</v>
      </c>
      <c r="C50" s="5">
        <f t="shared" si="0"/>
        <v>4.1879519454679883E-3</v>
      </c>
    </row>
    <row r="51" spans="1:3" x14ac:dyDescent="0.35">
      <c r="A51" s="1">
        <v>43497</v>
      </c>
      <c r="B51">
        <v>11732.11</v>
      </c>
      <c r="C51" s="5">
        <f t="shared" si="0"/>
        <v>1.5537614443835635E-2</v>
      </c>
    </row>
    <row r="52" spans="1:3" x14ac:dyDescent="0.35">
      <c r="A52" s="1">
        <v>43525</v>
      </c>
      <c r="B52">
        <v>11688.06</v>
      </c>
      <c r="C52" s="5">
        <f t="shared" si="0"/>
        <v>-3.7546528288603747E-3</v>
      </c>
    </row>
    <row r="53" spans="1:3" x14ac:dyDescent="0.35">
      <c r="A53" s="1">
        <v>43556</v>
      </c>
      <c r="B53">
        <v>11837.05</v>
      </c>
      <c r="C53" s="5">
        <f t="shared" si="0"/>
        <v>1.2747196711858066E-2</v>
      </c>
    </row>
    <row r="54" spans="1:3" x14ac:dyDescent="0.35">
      <c r="A54" s="1">
        <v>43586</v>
      </c>
      <c r="B54">
        <v>11795.77</v>
      </c>
      <c r="C54" s="5">
        <f t="shared" si="0"/>
        <v>-3.4873553799298677E-3</v>
      </c>
    </row>
    <row r="55" spans="1:3" x14ac:dyDescent="0.35">
      <c r="A55" s="1">
        <v>43617</v>
      </c>
      <c r="B55">
        <v>12132.94</v>
      </c>
      <c r="C55" s="5">
        <f t="shared" si="0"/>
        <v>2.8583975442044059E-2</v>
      </c>
    </row>
    <row r="56" spans="1:3" x14ac:dyDescent="0.35">
      <c r="A56" s="1">
        <v>43647</v>
      </c>
      <c r="B56">
        <v>12002.94</v>
      </c>
      <c r="C56" s="5">
        <f t="shared" si="0"/>
        <v>-1.0714633056785907E-2</v>
      </c>
    </row>
    <row r="57" spans="1:3" x14ac:dyDescent="0.35">
      <c r="A57" s="1">
        <v>43678</v>
      </c>
      <c r="B57">
        <v>11912.05</v>
      </c>
      <c r="C57" s="5">
        <f t="shared" si="0"/>
        <v>-7.5723114503614313E-3</v>
      </c>
    </row>
    <row r="58" spans="1:3" x14ac:dyDescent="0.35">
      <c r="A58" s="1">
        <v>43709</v>
      </c>
      <c r="B58">
        <v>11768.43</v>
      </c>
      <c r="C58" s="5">
        <f t="shared" si="0"/>
        <v>-1.2056698888940107E-2</v>
      </c>
    </row>
    <row r="59" spans="1:3" x14ac:dyDescent="0.35">
      <c r="A59" s="1">
        <v>43739</v>
      </c>
      <c r="B59">
        <v>11829.78</v>
      </c>
      <c r="C59" s="5">
        <f t="shared" si="0"/>
        <v>5.2130997932604744E-3</v>
      </c>
    </row>
    <row r="60" spans="1:3" x14ac:dyDescent="0.35">
      <c r="A60" s="1">
        <v>43770</v>
      </c>
      <c r="B60">
        <v>11592.5</v>
      </c>
      <c r="C60" s="5">
        <f t="shared" si="0"/>
        <v>-2.0057853992212927E-2</v>
      </c>
    </row>
    <row r="61" spans="1:3" x14ac:dyDescent="0.35">
      <c r="A61" s="1">
        <v>43800</v>
      </c>
      <c r="B61">
        <v>11947.92</v>
      </c>
      <c r="C61" s="5">
        <f t="shared" si="0"/>
        <v>3.0659478110847536E-2</v>
      </c>
    </row>
    <row r="62" spans="1:3" x14ac:dyDescent="0.35">
      <c r="A62" s="1">
        <v>43831</v>
      </c>
      <c r="B62">
        <v>11552.7</v>
      </c>
      <c r="C62" s="5">
        <f t="shared" si="0"/>
        <v>-3.307856095454266E-2</v>
      </c>
    </row>
    <row r="63" spans="1:3" x14ac:dyDescent="0.35">
      <c r="A63" s="1">
        <v>43862</v>
      </c>
      <c r="B63">
        <v>11121.15</v>
      </c>
      <c r="C63" s="5">
        <f t="shared" si="0"/>
        <v>-3.7354904048404358E-2</v>
      </c>
    </row>
    <row r="64" spans="1:3" x14ac:dyDescent="0.35">
      <c r="A64" s="1">
        <v>43891</v>
      </c>
      <c r="B64">
        <v>10105.08</v>
      </c>
      <c r="C64" s="5">
        <f t="shared" si="0"/>
        <v>-9.1363752849300636E-2</v>
      </c>
    </row>
    <row r="65" spans="1:3" x14ac:dyDescent="0.35">
      <c r="A65" s="1">
        <v>43922</v>
      </c>
      <c r="B65">
        <v>10890.14</v>
      </c>
      <c r="C65" s="5">
        <f t="shared" si="0"/>
        <v>7.7689637291342525E-2</v>
      </c>
    </row>
    <row r="66" spans="1:3" x14ac:dyDescent="0.35">
      <c r="A66" s="1">
        <v>43952</v>
      </c>
      <c r="B66">
        <v>12025.22</v>
      </c>
      <c r="C66" s="5">
        <f t="shared" si="0"/>
        <v>0.10423006499457307</v>
      </c>
    </row>
    <row r="67" spans="1:3" x14ac:dyDescent="0.35">
      <c r="A67" s="1">
        <v>43983</v>
      </c>
      <c r="B67">
        <v>12039.29</v>
      </c>
      <c r="C67" s="5">
        <f t="shared" si="0"/>
        <v>1.1700409639076482E-3</v>
      </c>
    </row>
    <row r="68" spans="1:3" x14ac:dyDescent="0.35">
      <c r="A68" s="1">
        <v>44013</v>
      </c>
      <c r="B68">
        <v>13439.53</v>
      </c>
      <c r="C68" s="5">
        <f t="shared" ref="C68:C97" si="1">(B68-B67)/B67</f>
        <v>0.11630586189052675</v>
      </c>
    </row>
    <row r="69" spans="1:3" x14ac:dyDescent="0.35">
      <c r="A69" s="1">
        <v>44044</v>
      </c>
      <c r="B69">
        <v>13166.65</v>
      </c>
      <c r="C69" s="5">
        <f t="shared" si="1"/>
        <v>-2.0304281474129007E-2</v>
      </c>
    </row>
    <row r="70" spans="1:3" x14ac:dyDescent="0.35">
      <c r="A70" s="1">
        <v>44075</v>
      </c>
      <c r="B70">
        <v>12900.94</v>
      </c>
      <c r="C70" s="5">
        <f t="shared" si="1"/>
        <v>-2.0180531874090916E-2</v>
      </c>
    </row>
    <row r="71" spans="1:3" x14ac:dyDescent="0.35">
      <c r="A71" s="1">
        <v>44105</v>
      </c>
      <c r="B71">
        <v>12741.68</v>
      </c>
      <c r="C71" s="5">
        <f t="shared" si="1"/>
        <v>-1.2344836887854699E-2</v>
      </c>
    </row>
    <row r="72" spans="1:3" x14ac:dyDescent="0.35">
      <c r="A72" s="1">
        <v>44136</v>
      </c>
      <c r="B72">
        <v>13147.37</v>
      </c>
      <c r="C72" s="5">
        <f t="shared" si="1"/>
        <v>3.1839600429456751E-2</v>
      </c>
    </row>
    <row r="73" spans="1:3" x14ac:dyDescent="0.35">
      <c r="A73" s="1">
        <v>44166</v>
      </c>
      <c r="B73">
        <v>13159.15</v>
      </c>
      <c r="C73" s="5">
        <f t="shared" si="1"/>
        <v>8.9599668983217438E-4</v>
      </c>
    </row>
    <row r="74" spans="1:3" x14ac:dyDescent="0.35">
      <c r="A74" s="1">
        <v>44197</v>
      </c>
      <c r="B74">
        <v>12870.86</v>
      </c>
      <c r="C74" s="5">
        <f t="shared" si="1"/>
        <v>-2.1907949981571688E-2</v>
      </c>
    </row>
    <row r="75" spans="1:3" x14ac:dyDescent="0.35">
      <c r="A75" s="1">
        <v>44228</v>
      </c>
      <c r="B75">
        <v>12979.15</v>
      </c>
      <c r="C75" s="5">
        <f t="shared" si="1"/>
        <v>8.4135792013897322E-3</v>
      </c>
    </row>
    <row r="76" spans="1:3" x14ac:dyDescent="0.35">
      <c r="A76" s="1">
        <v>44256</v>
      </c>
      <c r="B76">
        <v>12848.17</v>
      </c>
      <c r="C76" s="5">
        <f t="shared" si="1"/>
        <v>-1.0091569941020758E-2</v>
      </c>
    </row>
    <row r="77" spans="1:3" x14ac:dyDescent="0.35">
      <c r="A77" s="1">
        <v>44287</v>
      </c>
      <c r="B77">
        <v>13272.5</v>
      </c>
      <c r="C77" s="5">
        <f t="shared" si="1"/>
        <v>3.3026493267134534E-2</v>
      </c>
    </row>
    <row r="78" spans="1:3" x14ac:dyDescent="0.35">
      <c r="A78" s="1">
        <v>44317</v>
      </c>
      <c r="B78">
        <v>12772.91</v>
      </c>
      <c r="C78" s="5">
        <f t="shared" si="1"/>
        <v>-3.764098700320212E-2</v>
      </c>
    </row>
    <row r="79" spans="1:3" x14ac:dyDescent="0.35">
      <c r="A79" s="1">
        <v>44348</v>
      </c>
      <c r="B79">
        <v>12178.28</v>
      </c>
      <c r="C79" s="5">
        <f t="shared" si="1"/>
        <v>-4.6553995917923106E-2</v>
      </c>
    </row>
    <row r="80" spans="1:3" x14ac:dyDescent="0.35">
      <c r="A80" s="1">
        <v>44378</v>
      </c>
      <c r="B80">
        <v>12049.08</v>
      </c>
      <c r="C80" s="5">
        <f t="shared" si="1"/>
        <v>-1.0609051524517479E-2</v>
      </c>
    </row>
    <row r="81" spans="1:3" x14ac:dyDescent="0.35">
      <c r="A81" s="1">
        <v>44409</v>
      </c>
      <c r="B81">
        <v>12750.46</v>
      </c>
      <c r="C81" s="5">
        <f t="shared" si="1"/>
        <v>5.8210253396939783E-2</v>
      </c>
    </row>
    <row r="82" spans="1:3" x14ac:dyDescent="0.35">
      <c r="A82" s="1">
        <v>44440</v>
      </c>
      <c r="B82">
        <v>12359.01</v>
      </c>
      <c r="C82" s="5">
        <f t="shared" si="1"/>
        <v>-3.0700853145690345E-2</v>
      </c>
    </row>
    <row r="83" spans="1:3" x14ac:dyDescent="0.35">
      <c r="A83" s="1">
        <v>44470</v>
      </c>
      <c r="B83">
        <v>12591.59</v>
      </c>
      <c r="C83" s="5">
        <f t="shared" si="1"/>
        <v>1.8818659423368047E-2</v>
      </c>
    </row>
    <row r="84" spans="1:3" x14ac:dyDescent="0.35">
      <c r="A84" s="1">
        <v>44501</v>
      </c>
      <c r="B84">
        <v>12128.62</v>
      </c>
      <c r="C84" s="5">
        <f t="shared" si="1"/>
        <v>-3.6768192102824136E-2</v>
      </c>
    </row>
    <row r="85" spans="1:3" x14ac:dyDescent="0.35">
      <c r="A85" s="1">
        <v>44531</v>
      </c>
      <c r="B85">
        <v>12263.1</v>
      </c>
      <c r="C85" s="5">
        <f t="shared" si="1"/>
        <v>1.1087823676560034E-2</v>
      </c>
    </row>
    <row r="86" spans="1:3" x14ac:dyDescent="0.35">
      <c r="A86" s="1">
        <v>44562</v>
      </c>
      <c r="B86">
        <v>11569.1</v>
      </c>
      <c r="C86" s="5">
        <f t="shared" si="1"/>
        <v>-5.659254185320188E-2</v>
      </c>
    </row>
    <row r="87" spans="1:3" x14ac:dyDescent="0.35">
      <c r="A87" s="1">
        <v>44593</v>
      </c>
      <c r="B87">
        <v>12117.59</v>
      </c>
      <c r="C87" s="5">
        <f t="shared" si="1"/>
        <v>4.7409910883301189E-2</v>
      </c>
    </row>
    <row r="88" spans="1:3" x14ac:dyDescent="0.35">
      <c r="A88" s="1">
        <v>44621</v>
      </c>
      <c r="B88">
        <v>11943.35</v>
      </c>
      <c r="C88" s="5">
        <f t="shared" si="1"/>
        <v>-1.4379096833611285E-2</v>
      </c>
    </row>
    <row r="89" spans="1:3" x14ac:dyDescent="0.35">
      <c r="A89" s="1">
        <v>44652</v>
      </c>
      <c r="B89">
        <v>12022.28</v>
      </c>
      <c r="C89" s="5">
        <f t="shared" si="1"/>
        <v>6.6086985644731406E-3</v>
      </c>
    </row>
    <row r="90" spans="1:3" x14ac:dyDescent="0.35">
      <c r="A90" s="1">
        <v>44682</v>
      </c>
      <c r="B90">
        <v>11509.63</v>
      </c>
      <c r="C90" s="5">
        <f t="shared" si="1"/>
        <v>-4.2641661980922209E-2</v>
      </c>
    </row>
    <row r="91" spans="1:3" x14ac:dyDescent="0.35">
      <c r="A91" s="1">
        <v>44713</v>
      </c>
      <c r="B91">
        <v>10503.97</v>
      </c>
      <c r="C91" s="5">
        <f t="shared" si="1"/>
        <v>-8.7375528144692738E-2</v>
      </c>
    </row>
    <row r="92" spans="1:3" x14ac:dyDescent="0.35">
      <c r="A92" s="1">
        <v>44743</v>
      </c>
      <c r="B92">
        <v>10734.77</v>
      </c>
      <c r="C92" s="5">
        <f t="shared" si="1"/>
        <v>2.1972644628650034E-2</v>
      </c>
    </row>
    <row r="93" spans="1:3" x14ac:dyDescent="0.35">
      <c r="A93" s="1">
        <v>44774</v>
      </c>
      <c r="B93">
        <v>10813.46</v>
      </c>
      <c r="C93" s="5">
        <f t="shared" si="1"/>
        <v>7.3303852807278299E-3</v>
      </c>
    </row>
    <row r="94" spans="1:3" x14ac:dyDescent="0.35">
      <c r="A94" s="1">
        <v>44805</v>
      </c>
      <c r="B94">
        <v>10008.030000000001</v>
      </c>
      <c r="C94" s="5">
        <f t="shared" si="1"/>
        <v>-7.4484022690239626E-2</v>
      </c>
    </row>
    <row r="95" spans="1:3" x14ac:dyDescent="0.35">
      <c r="A95" s="1">
        <v>44835</v>
      </c>
      <c r="B95">
        <v>10411.11</v>
      </c>
      <c r="C95" s="5">
        <f t="shared" si="1"/>
        <v>4.0275658646107167E-2</v>
      </c>
    </row>
    <row r="96" spans="1:3" x14ac:dyDescent="0.35">
      <c r="A96" s="1">
        <v>44866</v>
      </c>
      <c r="B96">
        <v>10783.09</v>
      </c>
      <c r="C96" s="5">
        <f t="shared" si="1"/>
        <v>3.5729139352095936E-2</v>
      </c>
    </row>
    <row r="97" spans="1:3" x14ac:dyDescent="0.35">
      <c r="A97" s="1">
        <v>44896</v>
      </c>
      <c r="B97">
        <v>10938.55</v>
      </c>
      <c r="C97" s="5">
        <f t="shared" si="1"/>
        <v>1.4417017756505708E-2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9AC24-5FD2-4F88-9A46-2695A9D30D56}">
  <dimension ref="A1:C97"/>
  <sheetViews>
    <sheetView topLeftCell="A84" workbookViewId="0">
      <selection activeCell="C3" sqref="C3:C97"/>
    </sheetView>
  </sheetViews>
  <sheetFormatPr defaultRowHeight="14.5" x14ac:dyDescent="0.35"/>
  <cols>
    <col min="1" max="1" width="11.90625" customWidth="1"/>
  </cols>
  <sheetData>
    <row r="1" spans="1:3" x14ac:dyDescent="0.35">
      <c r="A1" t="s">
        <v>0</v>
      </c>
      <c r="B1" t="s">
        <v>9</v>
      </c>
      <c r="C1" t="s">
        <v>19</v>
      </c>
    </row>
    <row r="2" spans="1:3" x14ac:dyDescent="0.35">
      <c r="A2" s="1">
        <v>42005</v>
      </c>
      <c r="B2">
        <v>1781.26</v>
      </c>
    </row>
    <row r="3" spans="1:3" x14ac:dyDescent="0.35">
      <c r="A3" s="1">
        <v>42036</v>
      </c>
      <c r="B3">
        <v>1821.21</v>
      </c>
      <c r="C3" s="4">
        <f>(B3-B2)/B2</f>
        <v>2.2427944264172578E-2</v>
      </c>
    </row>
    <row r="4" spans="1:3" x14ac:dyDescent="0.35">
      <c r="A4" s="1">
        <v>42064</v>
      </c>
      <c r="B4">
        <v>1830.78</v>
      </c>
      <c r="C4" s="4">
        <f t="shared" ref="C4:C67" si="0">(B4-B3)/B3</f>
        <v>5.2547482168448095E-3</v>
      </c>
    </row>
    <row r="5" spans="1:3" x14ac:dyDescent="0.35">
      <c r="A5" s="1">
        <v>42095</v>
      </c>
      <c r="B5">
        <v>1818.27</v>
      </c>
      <c r="C5" s="4">
        <f t="shared" si="0"/>
        <v>-6.8331530822927887E-3</v>
      </c>
    </row>
    <row r="6" spans="1:3" x14ac:dyDescent="0.35">
      <c r="A6" s="1">
        <v>42125</v>
      </c>
      <c r="B6">
        <v>1747.52</v>
      </c>
      <c r="C6" s="4">
        <f t="shared" si="0"/>
        <v>-3.891061283527749E-2</v>
      </c>
    </row>
    <row r="7" spans="1:3" x14ac:dyDescent="0.35">
      <c r="A7" s="1">
        <v>42156</v>
      </c>
      <c r="B7">
        <v>1706.64</v>
      </c>
      <c r="C7" s="4">
        <f t="shared" si="0"/>
        <v>-2.3393151437465599E-2</v>
      </c>
    </row>
    <row r="8" spans="1:3" x14ac:dyDescent="0.35">
      <c r="A8" s="1">
        <v>42186</v>
      </c>
      <c r="B8">
        <v>1723.14</v>
      </c>
      <c r="C8" s="4">
        <f t="shared" si="0"/>
        <v>9.6681198143720986E-3</v>
      </c>
    </row>
    <row r="9" spans="1:3" x14ac:dyDescent="0.35">
      <c r="A9" s="1">
        <v>42217</v>
      </c>
      <c r="B9">
        <v>1612.74</v>
      </c>
      <c r="C9" s="4">
        <f t="shared" si="0"/>
        <v>-6.4069083185347722E-2</v>
      </c>
    </row>
    <row r="10" spans="1:3" x14ac:dyDescent="0.35">
      <c r="A10" s="1">
        <v>42248</v>
      </c>
      <c r="B10">
        <v>1621.04</v>
      </c>
      <c r="C10" s="4">
        <f t="shared" si="0"/>
        <v>5.1465208279077562E-3</v>
      </c>
    </row>
    <row r="11" spans="1:3" x14ac:dyDescent="0.35">
      <c r="A11" s="1">
        <v>42278</v>
      </c>
      <c r="B11">
        <v>1665.71</v>
      </c>
      <c r="C11" s="4">
        <f t="shared" si="0"/>
        <v>2.7556383556235547E-2</v>
      </c>
    </row>
    <row r="12" spans="1:3" x14ac:dyDescent="0.35">
      <c r="A12" s="1">
        <v>42309</v>
      </c>
      <c r="B12">
        <v>1672.16</v>
      </c>
      <c r="C12" s="4">
        <f t="shared" si="0"/>
        <v>3.8722226558044592E-3</v>
      </c>
    </row>
    <row r="13" spans="1:3" x14ac:dyDescent="0.35">
      <c r="A13" s="1">
        <v>42339</v>
      </c>
      <c r="B13">
        <v>1692.51</v>
      </c>
      <c r="C13" s="4">
        <f t="shared" si="0"/>
        <v>1.2169888048990472E-2</v>
      </c>
    </row>
    <row r="14" spans="1:3" x14ac:dyDescent="0.35">
      <c r="A14" s="1">
        <v>42370</v>
      </c>
      <c r="B14">
        <v>1667.8</v>
      </c>
      <c r="C14" s="4">
        <f t="shared" si="0"/>
        <v>-1.4599618318355601E-2</v>
      </c>
    </row>
    <row r="15" spans="1:3" x14ac:dyDescent="0.35">
      <c r="A15" s="1">
        <v>42401</v>
      </c>
      <c r="B15">
        <v>1654.75</v>
      </c>
      <c r="C15" s="4">
        <f t="shared" si="0"/>
        <v>-7.824679218131644E-3</v>
      </c>
    </row>
    <row r="16" spans="1:3" x14ac:dyDescent="0.35">
      <c r="A16" s="1">
        <v>42430</v>
      </c>
      <c r="B16">
        <v>1717.58</v>
      </c>
      <c r="C16" s="4">
        <f t="shared" si="0"/>
        <v>3.7969481794833011E-2</v>
      </c>
    </row>
    <row r="17" spans="1:3" x14ac:dyDescent="0.35">
      <c r="A17" s="1">
        <v>42461</v>
      </c>
      <c r="B17">
        <v>1672.72</v>
      </c>
      <c r="C17" s="4">
        <f t="shared" si="0"/>
        <v>-2.6118142968595291E-2</v>
      </c>
    </row>
    <row r="18" spans="1:3" x14ac:dyDescent="0.35">
      <c r="A18" s="1">
        <v>42491</v>
      </c>
      <c r="B18">
        <v>1626</v>
      </c>
      <c r="C18" s="4">
        <f t="shared" si="0"/>
        <v>-2.7930556219809666E-2</v>
      </c>
    </row>
    <row r="19" spans="1:3" x14ac:dyDescent="0.35">
      <c r="A19" s="1">
        <v>42522</v>
      </c>
      <c r="B19">
        <v>1654.08</v>
      </c>
      <c r="C19" s="4">
        <f t="shared" si="0"/>
        <v>1.7269372693726893E-2</v>
      </c>
    </row>
    <row r="20" spans="1:3" x14ac:dyDescent="0.35">
      <c r="A20" s="1">
        <v>42552</v>
      </c>
      <c r="B20">
        <v>1653.26</v>
      </c>
      <c r="C20" s="4">
        <f t="shared" si="0"/>
        <v>-4.9574385761265254E-4</v>
      </c>
    </row>
    <row r="21" spans="1:3" x14ac:dyDescent="0.35">
      <c r="A21" s="1">
        <v>42583</v>
      </c>
      <c r="B21">
        <v>1678.06</v>
      </c>
      <c r="C21" s="4">
        <f t="shared" si="0"/>
        <v>1.5000665352092202E-2</v>
      </c>
    </row>
    <row r="22" spans="1:3" x14ac:dyDescent="0.35">
      <c r="A22" s="1">
        <v>42614</v>
      </c>
      <c r="B22">
        <v>1652.55</v>
      </c>
      <c r="C22" s="4">
        <f t="shared" si="0"/>
        <v>-1.5202078590753603E-2</v>
      </c>
    </row>
    <row r="23" spans="1:3" x14ac:dyDescent="0.35">
      <c r="A23" s="1">
        <v>42644</v>
      </c>
      <c r="B23">
        <v>1672.46</v>
      </c>
      <c r="C23" s="4">
        <f t="shared" si="0"/>
        <v>1.2048046957732039E-2</v>
      </c>
    </row>
    <row r="24" spans="1:3" x14ac:dyDescent="0.35">
      <c r="A24" s="1">
        <v>42675</v>
      </c>
      <c r="B24">
        <v>1619.12</v>
      </c>
      <c r="C24" s="4">
        <f t="shared" si="0"/>
        <v>-3.1893139447281338E-2</v>
      </c>
    </row>
    <row r="25" spans="1:3" x14ac:dyDescent="0.35">
      <c r="A25" s="1">
        <v>42705</v>
      </c>
      <c r="B25">
        <v>1641.73</v>
      </c>
      <c r="C25" s="4">
        <f t="shared" si="0"/>
        <v>1.3964375710262444E-2</v>
      </c>
    </row>
    <row r="26" spans="1:3" x14ac:dyDescent="0.35">
      <c r="A26" s="1">
        <v>42736</v>
      </c>
      <c r="B26">
        <v>1671.54</v>
      </c>
      <c r="C26" s="4">
        <f t="shared" si="0"/>
        <v>1.8157675135375455E-2</v>
      </c>
    </row>
    <row r="27" spans="1:3" x14ac:dyDescent="0.35">
      <c r="A27" s="1">
        <v>42767</v>
      </c>
      <c r="B27">
        <v>1693.77</v>
      </c>
      <c r="C27" s="4">
        <f t="shared" si="0"/>
        <v>1.3299113392440515E-2</v>
      </c>
    </row>
    <row r="28" spans="1:3" x14ac:dyDescent="0.35">
      <c r="A28" s="1">
        <v>42795</v>
      </c>
      <c r="B28">
        <v>1740.09</v>
      </c>
      <c r="C28" s="4">
        <f t="shared" si="0"/>
        <v>2.7347278556120333E-2</v>
      </c>
    </row>
    <row r="29" spans="1:3" x14ac:dyDescent="0.35">
      <c r="A29" s="1">
        <v>42826</v>
      </c>
      <c r="B29">
        <v>1768.06</v>
      </c>
      <c r="C29" s="4">
        <f t="shared" si="0"/>
        <v>1.6073881236028039E-2</v>
      </c>
    </row>
    <row r="30" spans="1:3" x14ac:dyDescent="0.35">
      <c r="A30" s="1">
        <v>42856</v>
      </c>
      <c r="B30">
        <v>1765.87</v>
      </c>
      <c r="C30" s="4">
        <f t="shared" si="0"/>
        <v>-1.2386457473162985E-3</v>
      </c>
    </row>
    <row r="31" spans="1:3" x14ac:dyDescent="0.35">
      <c r="A31" s="1">
        <v>42887</v>
      </c>
      <c r="B31">
        <v>1763.67</v>
      </c>
      <c r="C31" s="4">
        <f t="shared" si="0"/>
        <v>-1.2458448243640914E-3</v>
      </c>
    </row>
    <row r="32" spans="1:3" x14ac:dyDescent="0.35">
      <c r="A32" s="1">
        <v>42917</v>
      </c>
      <c r="B32">
        <v>1760.03</v>
      </c>
      <c r="C32" s="4">
        <f t="shared" si="0"/>
        <v>-2.0638781631484916E-3</v>
      </c>
    </row>
    <row r="33" spans="1:3" x14ac:dyDescent="0.35">
      <c r="A33" s="1">
        <v>42948</v>
      </c>
      <c r="B33">
        <v>1773.16</v>
      </c>
      <c r="C33" s="4">
        <f t="shared" si="0"/>
        <v>7.4601001119299721E-3</v>
      </c>
    </row>
    <row r="34" spans="1:3" x14ac:dyDescent="0.35">
      <c r="A34" s="1">
        <v>42979</v>
      </c>
      <c r="B34">
        <v>1755.58</v>
      </c>
      <c r="C34" s="4">
        <f t="shared" si="0"/>
        <v>-9.914502921338263E-3</v>
      </c>
    </row>
    <row r="35" spans="1:3" x14ac:dyDescent="0.35">
      <c r="A35" s="1">
        <v>43009</v>
      </c>
      <c r="B35">
        <v>1747.92</v>
      </c>
      <c r="C35" s="4">
        <f t="shared" si="0"/>
        <v>-4.3632303853996142E-3</v>
      </c>
    </row>
    <row r="36" spans="1:3" x14ac:dyDescent="0.35">
      <c r="A36" s="1">
        <v>43040</v>
      </c>
      <c r="B36">
        <v>1717.86</v>
      </c>
      <c r="C36" s="4">
        <f t="shared" si="0"/>
        <v>-1.7197583413428631E-2</v>
      </c>
    </row>
    <row r="37" spans="1:3" x14ac:dyDescent="0.35">
      <c r="A37" s="1">
        <v>43070</v>
      </c>
      <c r="B37">
        <v>1796.81</v>
      </c>
      <c r="C37" s="4">
        <f t="shared" si="0"/>
        <v>4.5958343520426603E-2</v>
      </c>
    </row>
    <row r="38" spans="1:3" x14ac:dyDescent="0.35">
      <c r="A38" s="1">
        <v>43101</v>
      </c>
      <c r="B38">
        <v>1868.58</v>
      </c>
      <c r="C38" s="4">
        <f t="shared" si="0"/>
        <v>3.9943010112365798E-2</v>
      </c>
    </row>
    <row r="39" spans="1:3" x14ac:dyDescent="0.35">
      <c r="A39" s="1">
        <v>43132</v>
      </c>
      <c r="B39">
        <v>1856.2</v>
      </c>
      <c r="C39" s="4">
        <f t="shared" si="0"/>
        <v>-6.625351871474533E-3</v>
      </c>
    </row>
    <row r="40" spans="1:3" x14ac:dyDescent="0.35">
      <c r="A40" s="1">
        <v>43160</v>
      </c>
      <c r="B40">
        <v>1863.46</v>
      </c>
      <c r="C40" s="4">
        <f t="shared" si="0"/>
        <v>3.9112164637431258E-3</v>
      </c>
    </row>
    <row r="41" spans="1:3" x14ac:dyDescent="0.35">
      <c r="A41" s="1">
        <v>43191</v>
      </c>
      <c r="B41">
        <v>1870.37</v>
      </c>
      <c r="C41" s="4">
        <f t="shared" si="0"/>
        <v>3.7081557962069774E-3</v>
      </c>
    </row>
    <row r="42" spans="1:3" x14ac:dyDescent="0.35">
      <c r="A42" s="1">
        <v>43221</v>
      </c>
      <c r="B42">
        <v>1740.62</v>
      </c>
      <c r="C42" s="4">
        <f t="shared" si="0"/>
        <v>-6.9371300865604141E-2</v>
      </c>
    </row>
    <row r="43" spans="1:3" x14ac:dyDescent="0.35">
      <c r="A43" s="1">
        <v>43252</v>
      </c>
      <c r="B43">
        <v>1691.5</v>
      </c>
      <c r="C43" s="4">
        <f t="shared" si="0"/>
        <v>-2.8219829715848316E-2</v>
      </c>
    </row>
    <row r="44" spans="1:3" x14ac:dyDescent="0.35">
      <c r="A44" s="1">
        <v>43282</v>
      </c>
      <c r="B44">
        <v>1784.25</v>
      </c>
      <c r="C44" s="4">
        <f t="shared" si="0"/>
        <v>5.4832988471770615E-2</v>
      </c>
    </row>
    <row r="45" spans="1:3" x14ac:dyDescent="0.35">
      <c r="A45" s="1">
        <v>43313</v>
      </c>
      <c r="B45">
        <v>1819.66</v>
      </c>
      <c r="C45" s="4">
        <f t="shared" si="0"/>
        <v>1.9845873616365466E-2</v>
      </c>
    </row>
    <row r="46" spans="1:3" x14ac:dyDescent="0.35">
      <c r="A46" s="1">
        <v>43344</v>
      </c>
      <c r="B46">
        <v>1793.15</v>
      </c>
      <c r="C46" s="4">
        <f t="shared" si="0"/>
        <v>-1.4568655682929773E-2</v>
      </c>
    </row>
    <row r="47" spans="1:3" x14ac:dyDescent="0.35">
      <c r="A47" s="1">
        <v>43374</v>
      </c>
      <c r="B47">
        <v>1709.27</v>
      </c>
      <c r="C47" s="4">
        <f t="shared" si="0"/>
        <v>-4.6778016339960461E-2</v>
      </c>
    </row>
    <row r="48" spans="1:3" x14ac:dyDescent="0.35">
      <c r="A48" s="1">
        <v>43405</v>
      </c>
      <c r="B48">
        <v>1679.86</v>
      </c>
      <c r="C48" s="4">
        <f t="shared" si="0"/>
        <v>-1.7206175735840493E-2</v>
      </c>
    </row>
    <row r="49" spans="1:3" x14ac:dyDescent="0.35">
      <c r="A49" s="1">
        <v>43435</v>
      </c>
      <c r="B49">
        <v>1690.58</v>
      </c>
      <c r="C49" s="4">
        <f t="shared" si="0"/>
        <v>6.3814841713000061E-3</v>
      </c>
    </row>
    <row r="50" spans="1:3" x14ac:dyDescent="0.35">
      <c r="A50" s="1">
        <v>43466</v>
      </c>
      <c r="B50">
        <v>1683.53</v>
      </c>
      <c r="C50" s="4">
        <f t="shared" si="0"/>
        <v>-4.1701664517502599E-3</v>
      </c>
    </row>
    <row r="51" spans="1:3" x14ac:dyDescent="0.35">
      <c r="A51" s="1">
        <v>43497</v>
      </c>
      <c r="B51">
        <v>1707.73</v>
      </c>
      <c r="C51" s="4">
        <f t="shared" si="0"/>
        <v>1.4374558219930769E-2</v>
      </c>
    </row>
    <row r="52" spans="1:3" x14ac:dyDescent="0.35">
      <c r="A52" s="1">
        <v>43525</v>
      </c>
      <c r="B52">
        <v>1643.63</v>
      </c>
      <c r="C52" s="4">
        <f t="shared" si="0"/>
        <v>-3.7535207556229563E-2</v>
      </c>
    </row>
    <row r="53" spans="1:3" x14ac:dyDescent="0.35">
      <c r="A53" s="1">
        <v>43556</v>
      </c>
      <c r="B53">
        <v>1642.29</v>
      </c>
      <c r="C53" s="4">
        <f t="shared" si="0"/>
        <v>-8.1526864318620705E-4</v>
      </c>
    </row>
    <row r="54" spans="1:3" x14ac:dyDescent="0.35">
      <c r="A54" s="1">
        <v>43586</v>
      </c>
      <c r="B54">
        <v>1650.76</v>
      </c>
      <c r="C54" s="4">
        <f t="shared" si="0"/>
        <v>5.157432609344286E-3</v>
      </c>
    </row>
    <row r="55" spans="1:3" x14ac:dyDescent="0.35">
      <c r="A55" s="1">
        <v>43617</v>
      </c>
      <c r="B55">
        <v>1672.13</v>
      </c>
      <c r="C55" s="4">
        <f t="shared" si="0"/>
        <v>1.2945552351644163E-2</v>
      </c>
    </row>
    <row r="56" spans="1:3" x14ac:dyDescent="0.35">
      <c r="A56" s="1">
        <v>43647</v>
      </c>
      <c r="B56">
        <v>1634.87</v>
      </c>
      <c r="C56" s="4">
        <f t="shared" si="0"/>
        <v>-2.2282956468695745E-2</v>
      </c>
    </row>
    <row r="57" spans="1:3" x14ac:dyDescent="0.35">
      <c r="A57" s="1">
        <v>43678</v>
      </c>
      <c r="B57">
        <v>1612.14</v>
      </c>
      <c r="C57" s="4">
        <f t="shared" si="0"/>
        <v>-1.3903246129661559E-2</v>
      </c>
    </row>
    <row r="58" spans="1:3" x14ac:dyDescent="0.35">
      <c r="A58" s="1">
        <v>43709</v>
      </c>
      <c r="B58">
        <v>1583.91</v>
      </c>
      <c r="C58" s="4">
        <f t="shared" si="0"/>
        <v>-1.7510886151326819E-2</v>
      </c>
    </row>
    <row r="59" spans="1:3" x14ac:dyDescent="0.35">
      <c r="A59" s="1">
        <v>43739</v>
      </c>
      <c r="B59">
        <v>1597.98</v>
      </c>
      <c r="C59" s="4">
        <f t="shared" si="0"/>
        <v>8.883080478057425E-3</v>
      </c>
    </row>
    <row r="60" spans="1:3" x14ac:dyDescent="0.35">
      <c r="A60" s="1">
        <v>43770</v>
      </c>
      <c r="B60">
        <v>1561.74</v>
      </c>
      <c r="C60" s="4">
        <f t="shared" si="0"/>
        <v>-2.267863177261293E-2</v>
      </c>
    </row>
    <row r="61" spans="1:3" x14ac:dyDescent="0.35">
      <c r="A61" s="1">
        <v>43800</v>
      </c>
      <c r="B61">
        <v>1588.76</v>
      </c>
      <c r="C61" s="4">
        <f t="shared" si="0"/>
        <v>1.730121531112732E-2</v>
      </c>
    </row>
    <row r="62" spans="1:3" x14ac:dyDescent="0.35">
      <c r="A62" s="1">
        <v>43831</v>
      </c>
      <c r="B62">
        <v>1531.06</v>
      </c>
      <c r="C62" s="4">
        <f t="shared" si="0"/>
        <v>-3.6317631360306177E-2</v>
      </c>
    </row>
    <row r="63" spans="1:3" x14ac:dyDescent="0.35">
      <c r="A63" s="1">
        <v>43862</v>
      </c>
      <c r="B63">
        <v>1482.64</v>
      </c>
      <c r="C63" s="4">
        <f t="shared" si="0"/>
        <v>-3.1625148589865745E-2</v>
      </c>
    </row>
    <row r="64" spans="1:3" x14ac:dyDescent="0.35">
      <c r="A64" s="1">
        <v>43891</v>
      </c>
      <c r="B64">
        <v>1350.89</v>
      </c>
      <c r="C64" s="4">
        <f t="shared" si="0"/>
        <v>-8.8861760103598975E-2</v>
      </c>
    </row>
    <row r="65" spans="1:3" x14ac:dyDescent="0.35">
      <c r="A65" s="1">
        <v>43922</v>
      </c>
      <c r="B65">
        <v>1407.78</v>
      </c>
      <c r="C65" s="4">
        <f t="shared" si="0"/>
        <v>4.2112977370474182E-2</v>
      </c>
    </row>
    <row r="66" spans="1:3" x14ac:dyDescent="0.35">
      <c r="A66" s="1">
        <v>43952</v>
      </c>
      <c r="B66">
        <v>1473.25</v>
      </c>
      <c r="C66" s="4">
        <f t="shared" si="0"/>
        <v>4.6505846083905178E-2</v>
      </c>
    </row>
    <row r="67" spans="1:3" x14ac:dyDescent="0.35">
      <c r="A67" s="1">
        <v>43983</v>
      </c>
      <c r="B67">
        <v>1500.97</v>
      </c>
      <c r="C67" s="4">
        <f t="shared" si="0"/>
        <v>1.8815543865603277E-2</v>
      </c>
    </row>
    <row r="68" spans="1:3" x14ac:dyDescent="0.35">
      <c r="A68" s="1">
        <v>44013</v>
      </c>
      <c r="B68">
        <v>1603.75</v>
      </c>
      <c r="C68" s="4">
        <f t="shared" ref="C68:C97" si="1">(B68-B67)/B67</f>
        <v>6.8475719035024002E-2</v>
      </c>
    </row>
    <row r="69" spans="1:3" x14ac:dyDescent="0.35">
      <c r="A69" s="1">
        <v>44044</v>
      </c>
      <c r="B69">
        <v>1525.21</v>
      </c>
      <c r="C69" s="4">
        <f t="shared" si="1"/>
        <v>-4.8972720187061551E-2</v>
      </c>
    </row>
    <row r="70" spans="1:3" x14ac:dyDescent="0.35">
      <c r="A70" s="1">
        <v>44075</v>
      </c>
      <c r="B70">
        <v>1504.82</v>
      </c>
      <c r="C70" s="4">
        <f t="shared" si="1"/>
        <v>-1.3368650874305898E-2</v>
      </c>
    </row>
    <row r="71" spans="1:3" x14ac:dyDescent="0.35">
      <c r="A71" s="1">
        <v>44105</v>
      </c>
      <c r="B71">
        <v>1466.89</v>
      </c>
      <c r="C71" s="4">
        <f t="shared" si="1"/>
        <v>-2.5205672439228503E-2</v>
      </c>
    </row>
    <row r="72" spans="1:3" x14ac:dyDescent="0.35">
      <c r="A72" s="1">
        <v>44136</v>
      </c>
      <c r="B72">
        <v>1562.71</v>
      </c>
      <c r="C72" s="4">
        <f t="shared" si="1"/>
        <v>6.5321871442303059E-2</v>
      </c>
    </row>
    <row r="73" spans="1:3" x14ac:dyDescent="0.35">
      <c r="A73" s="1">
        <v>44166</v>
      </c>
      <c r="B73">
        <v>1627.21</v>
      </c>
      <c r="C73" s="4">
        <f t="shared" si="1"/>
        <v>4.1274452713555294E-2</v>
      </c>
    </row>
    <row r="74" spans="1:3" x14ac:dyDescent="0.35">
      <c r="A74" s="1">
        <v>44197</v>
      </c>
      <c r="B74">
        <v>1566.4</v>
      </c>
      <c r="C74" s="4">
        <f t="shared" si="1"/>
        <v>-3.7370714290103885E-2</v>
      </c>
    </row>
    <row r="75" spans="1:3" x14ac:dyDescent="0.35">
      <c r="A75" s="1">
        <v>44228</v>
      </c>
      <c r="B75">
        <v>1577.75</v>
      </c>
      <c r="C75" s="4">
        <f t="shared" si="1"/>
        <v>7.2459141981613311E-3</v>
      </c>
    </row>
    <row r="76" spans="1:3" x14ac:dyDescent="0.35">
      <c r="A76" s="1">
        <v>44256</v>
      </c>
      <c r="B76">
        <v>1573.51</v>
      </c>
      <c r="C76" s="4">
        <f t="shared" si="1"/>
        <v>-2.6873712565362124E-3</v>
      </c>
    </row>
    <row r="77" spans="1:3" x14ac:dyDescent="0.35">
      <c r="A77" s="1">
        <v>44287</v>
      </c>
      <c r="B77">
        <v>1601.65</v>
      </c>
      <c r="C77" s="4">
        <f t="shared" si="1"/>
        <v>1.7883585105909781E-2</v>
      </c>
    </row>
    <row r="78" spans="1:3" x14ac:dyDescent="0.35">
      <c r="A78" s="1">
        <v>44317</v>
      </c>
      <c r="B78">
        <v>1583.55</v>
      </c>
      <c r="C78" s="4">
        <f t="shared" si="1"/>
        <v>-1.1300846002559945E-2</v>
      </c>
    </row>
    <row r="79" spans="1:3" x14ac:dyDescent="0.35">
      <c r="A79" s="1">
        <v>44348</v>
      </c>
      <c r="B79">
        <v>1532.63</v>
      </c>
      <c r="C79" s="4">
        <f t="shared" si="1"/>
        <v>-3.2155599760032738E-2</v>
      </c>
    </row>
    <row r="80" spans="1:3" x14ac:dyDescent="0.35">
      <c r="A80" s="1">
        <v>44378</v>
      </c>
      <c r="B80">
        <v>1494.6</v>
      </c>
      <c r="C80" s="4">
        <f t="shared" si="1"/>
        <v>-2.4813555783196335E-2</v>
      </c>
    </row>
    <row r="81" spans="1:3" x14ac:dyDescent="0.35">
      <c r="A81" s="1">
        <v>44409</v>
      </c>
      <c r="B81">
        <v>1601.38</v>
      </c>
      <c r="C81" s="4">
        <f t="shared" si="1"/>
        <v>7.144386457915175E-2</v>
      </c>
    </row>
    <row r="82" spans="1:3" x14ac:dyDescent="0.35">
      <c r="A82" s="1">
        <v>44440</v>
      </c>
      <c r="B82">
        <v>1537.8</v>
      </c>
      <c r="C82" s="4">
        <f t="shared" si="1"/>
        <v>-3.9703255941750337E-2</v>
      </c>
    </row>
    <row r="83" spans="1:3" x14ac:dyDescent="0.35">
      <c r="A83" s="1">
        <v>44470</v>
      </c>
      <c r="B83">
        <v>1562.31</v>
      </c>
      <c r="C83" s="4">
        <f t="shared" si="1"/>
        <v>1.5938353492001556E-2</v>
      </c>
    </row>
    <row r="84" spans="1:3" x14ac:dyDescent="0.35">
      <c r="A84" s="1">
        <v>44501</v>
      </c>
      <c r="B84">
        <v>1513.98</v>
      </c>
      <c r="C84" s="4">
        <f t="shared" si="1"/>
        <v>-3.0934961691341623E-2</v>
      </c>
    </row>
    <row r="85" spans="1:3" x14ac:dyDescent="0.35">
      <c r="A85" s="1">
        <v>44531</v>
      </c>
      <c r="B85">
        <v>1567.53</v>
      </c>
      <c r="C85" s="4">
        <f t="shared" si="1"/>
        <v>3.5370348353346778E-2</v>
      </c>
    </row>
    <row r="86" spans="1:3" x14ac:dyDescent="0.35">
      <c r="A86" s="1">
        <v>44562</v>
      </c>
      <c r="B86">
        <v>1512.27</v>
      </c>
      <c r="C86" s="4">
        <f t="shared" si="1"/>
        <v>-3.5252913819831193E-2</v>
      </c>
    </row>
    <row r="87" spans="1:3" x14ac:dyDescent="0.35">
      <c r="A87" s="1">
        <v>44593</v>
      </c>
      <c r="B87">
        <v>1608.28</v>
      </c>
      <c r="C87" s="4">
        <f t="shared" si="1"/>
        <v>6.3487340223637306E-2</v>
      </c>
    </row>
    <row r="88" spans="1:3" x14ac:dyDescent="0.35">
      <c r="A88" s="1">
        <v>44621</v>
      </c>
      <c r="B88">
        <v>1587.36</v>
      </c>
      <c r="C88" s="4">
        <f t="shared" si="1"/>
        <v>-1.300768522894028E-2</v>
      </c>
    </row>
    <row r="89" spans="1:3" x14ac:dyDescent="0.35">
      <c r="A89" s="1">
        <v>44652</v>
      </c>
      <c r="B89">
        <v>1600.43</v>
      </c>
      <c r="C89" s="4">
        <f t="shared" si="1"/>
        <v>8.2337969962706405E-3</v>
      </c>
    </row>
    <row r="90" spans="1:3" x14ac:dyDescent="0.35">
      <c r="A90" s="1">
        <v>44682</v>
      </c>
      <c r="B90">
        <v>1570.1</v>
      </c>
      <c r="C90" s="4">
        <f t="shared" si="1"/>
        <v>-1.8951156876589513E-2</v>
      </c>
    </row>
    <row r="91" spans="1:3" x14ac:dyDescent="0.35">
      <c r="A91" s="1">
        <v>44713</v>
      </c>
      <c r="B91">
        <v>1444.22</v>
      </c>
      <c r="C91" s="4">
        <f t="shared" si="1"/>
        <v>-8.017323737341564E-2</v>
      </c>
    </row>
    <row r="92" spans="1:3" x14ac:dyDescent="0.35">
      <c r="A92" s="1">
        <v>44743</v>
      </c>
      <c r="B92">
        <v>1492.23</v>
      </c>
      <c r="C92" s="4">
        <f t="shared" si="1"/>
        <v>3.3242857736355949E-2</v>
      </c>
    </row>
    <row r="93" spans="1:3" x14ac:dyDescent="0.35">
      <c r="A93" s="1">
        <v>44774</v>
      </c>
      <c r="B93">
        <v>1512.05</v>
      </c>
      <c r="C93" s="4">
        <f t="shared" si="1"/>
        <v>1.3282134791553537E-2</v>
      </c>
    </row>
    <row r="94" spans="1:3" x14ac:dyDescent="0.35">
      <c r="A94" s="1">
        <v>44805</v>
      </c>
      <c r="B94">
        <v>1394.63</v>
      </c>
      <c r="C94" s="4">
        <f t="shared" si="1"/>
        <v>-7.7656162163949508E-2</v>
      </c>
    </row>
    <row r="95" spans="1:3" x14ac:dyDescent="0.35">
      <c r="A95" s="1">
        <v>44835</v>
      </c>
      <c r="B95">
        <v>1460.38</v>
      </c>
      <c r="C95" s="4">
        <f t="shared" si="1"/>
        <v>4.7145120928131473E-2</v>
      </c>
    </row>
    <row r="96" spans="1:3" x14ac:dyDescent="0.35">
      <c r="A96" s="1">
        <v>44866</v>
      </c>
      <c r="B96">
        <v>1488.8</v>
      </c>
      <c r="C96" s="4">
        <f t="shared" si="1"/>
        <v>1.9460688314000357E-2</v>
      </c>
    </row>
    <row r="97" spans="1:3" x14ac:dyDescent="0.35">
      <c r="A97" s="1">
        <v>44896</v>
      </c>
      <c r="B97">
        <v>1495.49</v>
      </c>
      <c r="C97" s="4">
        <f t="shared" si="1"/>
        <v>4.4935518538420571E-3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7619-88A0-4344-B34D-156B4D0B19DE}">
  <dimension ref="A1:F4"/>
  <sheetViews>
    <sheetView workbookViewId="0">
      <selection activeCell="A4" sqref="A4"/>
    </sheetView>
  </sheetViews>
  <sheetFormatPr defaultRowHeight="14.5" x14ac:dyDescent="0.35"/>
  <sheetData>
    <row r="1" spans="1:6" x14ac:dyDescent="0.35">
      <c r="A1" t="s">
        <v>27</v>
      </c>
    </row>
    <row r="2" spans="1:6" x14ac:dyDescent="0.35">
      <c r="A2" t="s">
        <v>22</v>
      </c>
      <c r="F2" t="s">
        <v>24</v>
      </c>
    </row>
    <row r="3" spans="1:6" x14ac:dyDescent="0.35">
      <c r="A3" t="s">
        <v>21</v>
      </c>
      <c r="F3" t="s">
        <v>25</v>
      </c>
    </row>
    <row r="4" spans="1:6" x14ac:dyDescent="0.35">
      <c r="A4" t="s">
        <v>23</v>
      </c>
      <c r="F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REKAP</vt:lpstr>
      <vt:lpstr>SIN MY</vt:lpstr>
      <vt:lpstr>SRI-ESG MY</vt:lpstr>
      <vt:lpstr>SYR MY</vt:lpstr>
      <vt:lpstr>COMPOSITE MY</vt:lpstr>
      <vt:lpstr>STATA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Juli Yandi Rahman</cp:lastModifiedBy>
  <dcterms:created xsi:type="dcterms:W3CDTF">2023-08-09T04:00:16Z</dcterms:created>
  <dcterms:modified xsi:type="dcterms:W3CDTF">2024-08-26T13:41:47Z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2023-08-09T04:44:58Z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00d7d715-0a45-49c7-93b3-acd0cc356119</vt:lpwstr>
  </property>
  <property fmtid="{D5CDD505-2E9C-101B-9397-08002B2CF9AE}" pid="7" name="MSIP_Label_defa4170-0d19-0005-0004-bc88714345d2_ActionId">
    <vt:lpwstr>d8f88fea-9752-4c95-9bc2-5fd51d9788cb</vt:lpwstr>
  </property>
  <property fmtid="{D5CDD505-2E9C-101B-9397-08002B2CF9AE}" pid="8" name="MSIP_Label_defa4170-0d19-0005-0004-bc88714345d2_ContentBits">
    <vt:lpwstr>0</vt:lpwstr>
  </property>
</Properties>
</file>